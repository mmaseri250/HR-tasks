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ni Abdul Rahman\Desktop\"/>
    </mc:Choice>
  </mc:AlternateContent>
  <bookViews>
    <workbookView xWindow="0" yWindow="0" windowWidth="28770" windowHeight="12390"/>
  </bookViews>
  <sheets>
    <sheet name="بيانات الموظفين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2" i="1" l="1"/>
  <c r="P53" i="1"/>
  <c r="P54" i="1"/>
  <c r="P55" i="1"/>
  <c r="M2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2" i="1" l="1"/>
</calcChain>
</file>

<file path=xl/sharedStrings.xml><?xml version="1.0" encoding="utf-8"?>
<sst xmlns="http://schemas.openxmlformats.org/spreadsheetml/2006/main" count="405" uniqueCount="210">
  <si>
    <t>الاسم</t>
  </si>
  <si>
    <t>رقم الهوية</t>
  </si>
  <si>
    <t>الجنس</t>
  </si>
  <si>
    <t>الجنسية</t>
  </si>
  <si>
    <t>تاريخ التعيين</t>
  </si>
  <si>
    <t>رقم الجوال</t>
  </si>
  <si>
    <t>الإيميل</t>
  </si>
  <si>
    <t>رصيد الإجازات الحالي</t>
  </si>
  <si>
    <t>الراتب الأساسي</t>
  </si>
  <si>
    <t>بدل السكن</t>
  </si>
  <si>
    <t>بدل المواصلات</t>
  </si>
  <si>
    <t>بدلات أخرى</t>
  </si>
  <si>
    <t>الإجمالي</t>
  </si>
  <si>
    <t>عدد الموظفين</t>
  </si>
  <si>
    <t>إجمالي الرواتب</t>
  </si>
  <si>
    <t>المسمى الوظيفي</t>
  </si>
  <si>
    <t>الإدارة</t>
  </si>
  <si>
    <t>القسم</t>
  </si>
  <si>
    <t>سميه سالم يحيى الفيفي</t>
  </si>
  <si>
    <t>محمد شعبان حسن زوين</t>
  </si>
  <si>
    <t>مصطفى مجدى مصطفى العادلى</t>
  </si>
  <si>
    <t>يعقوب باشا شيخ حسين</t>
  </si>
  <si>
    <t>هاني عبدالله - عبدالكريم</t>
  </si>
  <si>
    <t>ناشيك علي عظيم</t>
  </si>
  <si>
    <t>فهمي سالم عبيد باعمير</t>
  </si>
  <si>
    <t>بريم بهادور بلال بهادور</t>
  </si>
  <si>
    <t>ناباب خان</t>
  </si>
  <si>
    <t>عبد الله محمد سالم طرشوم</t>
  </si>
  <si>
    <t>دل بهادر رسمي مقار</t>
  </si>
  <si>
    <t>بادام بهادور كاسو بهادور</t>
  </si>
  <si>
    <t>جون بهادور رانا</t>
  </si>
  <si>
    <t>جهامان سينغ رانا</t>
  </si>
  <si>
    <t>فازا علي</t>
  </si>
  <si>
    <t>مصظفى محمود احمد مصطفى</t>
  </si>
  <si>
    <t>جونيد شادان محمد</t>
  </si>
  <si>
    <t>ابو الحجاج على حجاج</t>
  </si>
  <si>
    <t>محمد رونى ميا محمد</t>
  </si>
  <si>
    <t>هاني علي شامي عسيري</t>
  </si>
  <si>
    <t>محمد على عبده على</t>
  </si>
  <si>
    <t>ابرار حسين اتور قلو</t>
  </si>
  <si>
    <t>سالم محمد سالم طرشوم</t>
  </si>
  <si>
    <t>علاء السيد مصطفى حسن</t>
  </si>
  <si>
    <t>عبدالواحد عبدالواحد محمود مصطفى</t>
  </si>
  <si>
    <t>انيت- -كومار</t>
  </si>
  <si>
    <t>هيم شانكار- كومار</t>
  </si>
  <si>
    <t>ياسر صديق محمد صديق</t>
  </si>
  <si>
    <t>محمد يعقوب خان محمد</t>
  </si>
  <si>
    <t>نوف علي شامي عسيري</t>
  </si>
  <si>
    <t>فيروز علي جان محمد</t>
  </si>
  <si>
    <t>يام بهادور جاها</t>
  </si>
  <si>
    <t>مد اكاش تالوكدير</t>
  </si>
  <si>
    <t>رشيد منظور منظور حسين</t>
  </si>
  <si>
    <t>تامر جمعه احمد عبدالله</t>
  </si>
  <si>
    <t>احمد علي هادي آل دحنان</t>
  </si>
  <si>
    <t>نوره حسين مقبول القحطاني</t>
  </si>
  <si>
    <t>احمد فوزي كامل عماره</t>
  </si>
  <si>
    <t>نور اسلام شيخ</t>
  </si>
  <si>
    <t>باسم محسن السيد فرج</t>
  </si>
  <si>
    <t>هاني عبدالرحمن صالح القحطاني</t>
  </si>
  <si>
    <t>حسن علي حسن غظيف</t>
  </si>
  <si>
    <t>فهد إبراهيم جعفر الاعوري</t>
  </si>
  <si>
    <t>ديباك بلال</t>
  </si>
  <si>
    <t>عبدالمنعم عبدالرحمن عبدالقادر</t>
  </si>
  <si>
    <t>خيريه إسماعيل محمد عبدالله خنفور</t>
  </si>
  <si>
    <t>عبدالعزيز سعيد مفرح آل الحضيري</t>
  </si>
  <si>
    <t xml:space="preserve">محمد  شكيل </t>
  </si>
  <si>
    <t>محمد عمران علي</t>
  </si>
  <si>
    <t>ندى يحيى جابر سفياني</t>
  </si>
  <si>
    <t>صالحة سلطان علي آل سعيده</t>
  </si>
  <si>
    <t>محمد علي جابر آل مفقع</t>
  </si>
  <si>
    <t>1072664301</t>
  </si>
  <si>
    <t>2241107396</t>
  </si>
  <si>
    <t>2241107842</t>
  </si>
  <si>
    <t>2304330885</t>
  </si>
  <si>
    <t>2064427269</t>
  </si>
  <si>
    <t>2301580466</t>
  </si>
  <si>
    <t>2273877585</t>
  </si>
  <si>
    <t>2256690906</t>
  </si>
  <si>
    <t>2577378348</t>
  </si>
  <si>
    <t>2391082183</t>
  </si>
  <si>
    <t>انثى</t>
  </si>
  <si>
    <t>ذكر</t>
  </si>
  <si>
    <t>سعوديه</t>
  </si>
  <si>
    <t>مصري</t>
  </si>
  <si>
    <t>هندي</t>
  </si>
  <si>
    <t>يمني</t>
  </si>
  <si>
    <t>اليمن</t>
  </si>
  <si>
    <t>نيبال</t>
  </si>
  <si>
    <t>نيبالي</t>
  </si>
  <si>
    <t>بنجلاديشي</t>
  </si>
  <si>
    <t>سعودي</t>
  </si>
  <si>
    <t>باكستاني</t>
  </si>
  <si>
    <t>بنجلاديش</t>
  </si>
  <si>
    <t>مصر</t>
  </si>
  <si>
    <t>النيبال</t>
  </si>
  <si>
    <t>باكستان</t>
  </si>
  <si>
    <t>الهند</t>
  </si>
  <si>
    <t>سعودية</t>
  </si>
  <si>
    <t>8/18/2009</t>
  </si>
  <si>
    <t>7/29/2008</t>
  </si>
  <si>
    <t>3/26/2001</t>
  </si>
  <si>
    <t>4/24/2017</t>
  </si>
  <si>
    <t>حي الموظفين</t>
  </si>
  <si>
    <t>سيتي بارك</t>
  </si>
  <si>
    <t>المنسك</t>
  </si>
  <si>
    <t>محايل</t>
  </si>
  <si>
    <t>المستودع الرئيسي</t>
  </si>
  <si>
    <t>المقاولات</t>
  </si>
  <si>
    <t>الموظفين</t>
  </si>
  <si>
    <t>الحبيل</t>
  </si>
  <si>
    <t>الموارد البشرية</t>
  </si>
  <si>
    <t>الماليه</t>
  </si>
  <si>
    <t>الصاله</t>
  </si>
  <si>
    <t>المشتريات</t>
  </si>
  <si>
    <t>النظافه</t>
  </si>
  <si>
    <t>السوق</t>
  </si>
  <si>
    <t>المخبز</t>
  </si>
  <si>
    <t>المستودع</t>
  </si>
  <si>
    <t>ادخالات</t>
  </si>
  <si>
    <t>الامن</t>
  </si>
  <si>
    <t>الاجبان</t>
  </si>
  <si>
    <t>التعقيب</t>
  </si>
  <si>
    <t>موظفة موارد بشرية</t>
  </si>
  <si>
    <t>محاسب</t>
  </si>
  <si>
    <t>محاسب زبائن</t>
  </si>
  <si>
    <t>مندوب مشتريات</t>
  </si>
  <si>
    <t>مشرف صيانه</t>
  </si>
  <si>
    <t>عامل تعبئة رفوف</t>
  </si>
  <si>
    <t>سائق سيارة</t>
  </si>
  <si>
    <t>مجمد مواد غذائية</t>
  </si>
  <si>
    <t>صانع حلويات عام</t>
  </si>
  <si>
    <t>خباز عام</t>
  </si>
  <si>
    <t>خباز</t>
  </si>
  <si>
    <t>عامل تعبئة وتغليف</t>
  </si>
  <si>
    <t>مشرف</t>
  </si>
  <si>
    <t>بائع مواد تموينية/ عام</t>
  </si>
  <si>
    <t>عامل مخزن</t>
  </si>
  <si>
    <t>عامل تحميل وتنزيل</t>
  </si>
  <si>
    <t>عامل تركيب خطوط اتصالات</t>
  </si>
  <si>
    <t>عامل انشاءات</t>
  </si>
  <si>
    <t>عامل معماري</t>
  </si>
  <si>
    <t>كاشير</t>
  </si>
  <si>
    <t>كاتب أدخال بيانات</t>
  </si>
  <si>
    <t>سائق شاحنة ثقيلة</t>
  </si>
  <si>
    <t>حارس امن</t>
  </si>
  <si>
    <t>مصممة جيرافيك</t>
  </si>
  <si>
    <t>مدير الموارد البشرية</t>
  </si>
  <si>
    <t>كاشيرة</t>
  </si>
  <si>
    <t>معقب</t>
  </si>
  <si>
    <t>فني شبكات حاسب</t>
  </si>
  <si>
    <t>547332121</t>
  </si>
  <si>
    <t>somayah.salem@jalmajd.com</t>
  </si>
  <si>
    <t>ms.zwin85@gmail.com</t>
  </si>
  <si>
    <t>lego2012@icloud.com</t>
  </si>
  <si>
    <t>ahmedzain@gmail.com</t>
  </si>
  <si>
    <t>hani11479@gmail.com</t>
  </si>
  <si>
    <t>anasiak316@gmail.com</t>
  </si>
  <si>
    <t>Bamyr312@gmail.com</t>
  </si>
  <si>
    <t>balalprem44@gmail.com</t>
  </si>
  <si>
    <t>nababkhan1925@gmail.com</t>
  </si>
  <si>
    <t>a0538834853@gmail.com</t>
  </si>
  <si>
    <t>Dal654578@gmail.com</t>
  </si>
  <si>
    <t>Pdam7417@gmail.com</t>
  </si>
  <si>
    <t>gunr963@gmail.com</t>
  </si>
  <si>
    <t>Jhaman@058 gmail.com</t>
  </si>
  <si>
    <t>Robinkhan828200@gmail.com</t>
  </si>
  <si>
    <t>mostafaelhalwany21@gmail.com</t>
  </si>
  <si>
    <t>junaidjunaidshadal@gmail.com</t>
  </si>
  <si>
    <t>Hagagalia90@gmail.com</t>
  </si>
  <si>
    <t>mdrohyshakder79@gmail.com</t>
  </si>
  <si>
    <t>hany819000@gmail.com</t>
  </si>
  <si>
    <t>lym785984@gmail.com</t>
  </si>
  <si>
    <t>ibrarhoussion@gmail.com</t>
  </si>
  <si>
    <t>salim737083803@gmail.com</t>
  </si>
  <si>
    <t>ala501788@gmail.com</t>
  </si>
  <si>
    <t>Khaledfawy100@gmail.com</t>
  </si>
  <si>
    <t>manbahadur0254@gmail.com</t>
  </si>
  <si>
    <t>hemakumar852850@gmail.com</t>
  </si>
  <si>
    <t>yasirabha@gmail.com</t>
  </si>
  <si>
    <t>Abdulrahman2211@gmail.com</t>
  </si>
  <si>
    <t>nooouf8888@gmail.com</t>
  </si>
  <si>
    <t>Firog.ali062@gmail.com</t>
  </si>
  <si>
    <t>gahanirmal4@gmail.com</t>
  </si>
  <si>
    <t>randtalukdarmd@gmail.com</t>
  </si>
  <si>
    <t>M4184314@gmail.com</t>
  </si>
  <si>
    <t>tamerfaresqw@gmail.com</t>
  </si>
  <si>
    <t>aaldhnan2020@icloud.com</t>
  </si>
  <si>
    <t>nooragahtani00909@gmail.com</t>
  </si>
  <si>
    <t>aislahmed12@gmail.com</t>
  </si>
  <si>
    <t>n82794747@gmail.com</t>
  </si>
  <si>
    <t>basbosabasm@gmail.com</t>
  </si>
  <si>
    <t>hani.abdulrahman@jalmajd.com</t>
  </si>
  <si>
    <t>hassan-1413-2011@gmail.com</t>
  </si>
  <si>
    <t>aassdq28@gmail.com</t>
  </si>
  <si>
    <t>binitathapa3399@gmail.com</t>
  </si>
  <si>
    <t>soso3333651@gmail.com</t>
  </si>
  <si>
    <t>kko.4.5.k@gmail.com</t>
  </si>
  <si>
    <t>anso2772@gmail.com</t>
  </si>
  <si>
    <t>moh.shakeel76@gmail.com</t>
  </si>
  <si>
    <t>moh.imran27@gmail.com</t>
  </si>
  <si>
    <t>s85721641@gmail.com</t>
  </si>
  <si>
    <t>rrsas496@gmail.com</t>
  </si>
  <si>
    <t>mhmadale2000@icloud.com</t>
  </si>
  <si>
    <t>506450714</t>
  </si>
  <si>
    <t>537930567</t>
  </si>
  <si>
    <t>506894796</t>
  </si>
  <si>
    <t>507912397</t>
  </si>
  <si>
    <t>553442190</t>
  </si>
  <si>
    <t>502050504</t>
  </si>
  <si>
    <t>533670061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</si>
</sst>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0;[Red]\(#,##0.00\);&quot;–&quot;"/>
  </numFmts>
  <fonts count="13" x14ac:knownFonts="1">
    <font>
      <sz val="11"/>
      <color theme="1"/>
      <name val="Arial"/>
      <family val="2"/>
      <scheme val="minor"/>
    </font>
    <font>
      <sz val="11"/>
      <color rgb="FF33465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2159A2"/>
      <name val="Arial"/>
      <family val="2"/>
      <scheme val="minor"/>
    </font>
    <font>
      <b/>
      <sz val="11"/>
      <color rgb="FF185B43"/>
      <name val="Arial"/>
      <family val="2"/>
      <scheme val="minor"/>
    </font>
    <font>
      <b/>
      <sz val="11"/>
      <color rgb="FF33465F"/>
      <name val="Arial"/>
      <family val="2"/>
      <scheme val="minor"/>
    </font>
    <font>
      <sz val="8"/>
      <name val="Arial"/>
      <family val="2"/>
      <scheme val="minor"/>
    </font>
    <font>
      <b/>
      <sz val="18"/>
      <color rgb="FFFFFFFF"/>
      <name val="Arial"/>
      <family val="2"/>
      <scheme val="minor"/>
    </font>
    <font>
      <sz val="11"/>
      <color theme="1"/>
      <name val="Calibri"/>
    </font>
    <font>
      <sz val="11"/>
      <color theme="1"/>
      <name val="Calibri"/>
      <family val="2"/>
    </font>
    <font>
      <sz val="12"/>
      <name val="Calibri"/>
      <family val="2"/>
    </font>
    <font>
      <u/>
      <sz val="11"/>
      <color theme="10"/>
      <name val="Arial"/>
      <scheme val="minor"/>
    </font>
    <font>
      <u/>
      <sz val="11"/>
      <color theme="4" tint="-0.249977111117893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82C46"/>
        <bgColor indexed="64"/>
      </patternFill>
    </fill>
    <fill>
      <patternFill patternType="solid">
        <fgColor rgb="FFEFF4F9"/>
        <bgColor indexed="64"/>
      </patternFill>
    </fill>
    <fill>
      <patternFill patternType="solid">
        <fgColor rgb="FFE5F3ED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4">
    <xf numFmtId="0" fontId="0" fillId="0" borderId="0" xfId="0"/>
    <xf numFmtId="164" fontId="3" fillId="0" borderId="0" xfId="0" applyNumberFormat="1" applyFont="1"/>
    <xf numFmtId="165" fontId="4" fillId="4" borderId="0" xfId="0" applyNumberFormat="1" applyFont="1" applyFill="1"/>
    <xf numFmtId="0" fontId="2" fillId="0" borderId="0" xfId="0" applyFont="1" applyAlignment="1">
      <alignment vertical="center" wrapText="1"/>
    </xf>
    <xf numFmtId="0" fontId="1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5" fontId="5" fillId="3" borderId="0" xfId="0" applyNumberFormat="1" applyFont="1" applyFill="1" applyAlignment="1">
      <alignment horizontal="center" vertical="center"/>
    </xf>
    <xf numFmtId="49" fontId="9" fillId="0" borderId="2" xfId="0" applyNumberFormat="1" applyFont="1" applyFill="1" applyBorder="1"/>
    <xf numFmtId="49" fontId="8" fillId="0" borderId="1" xfId="0" applyNumberFormat="1" applyFont="1" applyBorder="1"/>
    <xf numFmtId="49" fontId="9" fillId="0" borderId="1" xfId="0" applyNumberFormat="1" applyFont="1" applyBorder="1"/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10" fillId="0" borderId="3" xfId="0" applyFont="1" applyBorder="1" applyAlignment="1">
      <alignment horizontal="left" vertical="center"/>
    </xf>
    <xf numFmtId="0" fontId="0" fillId="0" borderId="0" xfId="0" applyFill="1" applyBorder="1" applyAlignment="1">
      <alignment horizontal="left"/>
    </xf>
    <xf numFmtId="49" fontId="8" fillId="0" borderId="2" xfId="0" applyNumberFormat="1" applyFont="1" applyBorder="1"/>
    <xf numFmtId="49" fontId="9" fillId="0" borderId="2" xfId="0" applyNumberFormat="1" applyFont="1" applyBorder="1"/>
    <xf numFmtId="49" fontId="9" fillId="0" borderId="0" xfId="0" applyNumberFormat="1" applyFont="1" applyFill="1" applyBorder="1"/>
    <xf numFmtId="14" fontId="0" fillId="0" borderId="4" xfId="0" applyNumberFormat="1" applyBorder="1" applyAlignment="1">
      <alignment horizontal="right"/>
    </xf>
    <xf numFmtId="0" fontId="0" fillId="5" borderId="0" xfId="0" applyFill="1"/>
    <xf numFmtId="2" fontId="8" fillId="0" borderId="1" xfId="0" applyNumberFormat="1" applyFont="1" applyBorder="1"/>
    <xf numFmtId="2" fontId="8" fillId="0" borderId="2" xfId="0" applyNumberFormat="1" applyFont="1" applyFill="1" applyBorder="1"/>
    <xf numFmtId="2" fontId="8" fillId="0" borderId="0" xfId="0" applyNumberFormat="1" applyFont="1" applyFill="1" applyBorder="1"/>
    <xf numFmtId="0" fontId="7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3" fillId="0" borderId="0" xfId="0" applyNumberFormat="1" applyFont="1" applyFill="1"/>
    <xf numFmtId="49" fontId="8" fillId="0" borderId="5" xfId="0" applyNumberFormat="1" applyFont="1" applyBorder="1"/>
    <xf numFmtId="49" fontId="9" fillId="0" borderId="5" xfId="0" applyNumberFormat="1" applyFont="1" applyBorder="1"/>
    <xf numFmtId="49" fontId="9" fillId="0" borderId="6" xfId="0" applyNumberFormat="1" applyFont="1" applyBorder="1"/>
    <xf numFmtId="49" fontId="11" fillId="0" borderId="4" xfId="1" applyNumberFormat="1" applyBorder="1"/>
    <xf numFmtId="49" fontId="11" fillId="0" borderId="4" xfId="1" applyNumberFormat="1" applyFill="1" applyBorder="1" applyAlignment="1"/>
    <xf numFmtId="0" fontId="11" fillId="0" borderId="4" xfId="1" applyBorder="1" applyAlignment="1"/>
    <xf numFmtId="49" fontId="12" fillId="0" borderId="4" xfId="1" applyNumberFormat="1" applyFont="1" applyFill="1" applyBorder="1" applyAlignment="1"/>
    <xf numFmtId="0" fontId="11" fillId="0" borderId="4" xfId="1" applyFill="1" applyBorder="1" applyAlignment="1"/>
    <xf numFmtId="0" fontId="11" fillId="0" borderId="4" xfId="1" applyBorder="1"/>
  </cellXfs>
  <cellStyles count="2">
    <cellStyle name="Hyperlink" xfId="1" builtinId="8"/>
    <cellStyle name="Normal" xfId="0" builtinId="0"/>
  </cellStyles>
  <dxfs count="17">
    <dxf>
      <font>
        <color rgb="FF2159A2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color rgb="FF185B43"/>
      </font>
      <numFmt numFmtId="165" formatCode="#,##0.00;[Red]\(#,##0.00\);&quot;–&quot;"/>
      <fill>
        <patternFill patternType="solid">
          <fgColor indexed="64"/>
          <bgColor rgb="FFE5F3ED"/>
        </patternFill>
      </fill>
    </dxf>
    <dxf>
      <font>
        <color rgb="FF2159A2"/>
        <name val="Calibri"/>
        <scheme val="none"/>
      </font>
      <numFmt numFmtId="2" formatCode="0.00"/>
      <fill>
        <patternFill patternType="solid">
          <fgColor indexed="64"/>
          <bgColor theme="7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2159A2"/>
        <name val="Calibri"/>
        <scheme val="none"/>
      </font>
      <numFmt numFmtId="2" formatCode="0.00"/>
      <fill>
        <patternFill patternType="solid">
          <fgColor indexed="64"/>
          <bgColor theme="7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2159A2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</dxf>
    <dxf>
      <font>
        <color rgb="FF2159A2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</dxf>
    <dxf>
      <font>
        <color rgb="FF2159A2"/>
      </font>
      <numFmt numFmtId="164" formatCode="0.0"/>
    </dxf>
    <dxf>
      <font>
        <color rgb="FF2159A2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59A2"/>
        <name val="Calibri"/>
        <scheme val="minor"/>
      </font>
      <numFmt numFmtId="166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59A2"/>
        <name val="Calibri"/>
        <scheme val="minor"/>
      </font>
      <numFmt numFmtId="166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59A2"/>
        <name val="Calibri"/>
        <scheme val="minor"/>
      </font>
      <numFmt numFmtId="166" formatCode="dd/mm/yyyy"/>
      <border outline="0">
        <left style="thin">
          <color indexed="64"/>
        </left>
      </border>
    </dxf>
    <dxf>
      <font>
        <color rgb="FF2159A2"/>
      </font>
      <numFmt numFmtId="19" formatCode="dd/mm/yy"/>
      <fill>
        <patternFill patternType="solid">
          <fgColor indexed="64"/>
          <bgColor theme="7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2159A2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border outline="0">
        <right style="thin">
          <color indexed="64"/>
        </right>
      </border>
    </dxf>
    <dxf>
      <font>
        <color rgb="FF2159A2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color rgb="FF2159A2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color rgb="FF2159A2"/>
        <name val="Calibri"/>
        <scheme val="none"/>
      </font>
      <numFmt numFmtId="30" formatCode="@"/>
      <fill>
        <patternFill patternType="none">
          <fgColor indexed="64"/>
          <bgColor auto="1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id="1" name="EmployeeRoster" displayName="EmployeeRoster" ref="A3:P55" totalsRowShown="0" headerRowDxfId="16">
  <autoFilter ref="A3:P55"/>
  <tableColumns count="16">
    <tableColumn id="2" name="الاسم" dataDxfId="15"/>
    <tableColumn id="3" name="رقم الهوية" dataDxfId="14"/>
    <tableColumn id="4" name="الجنس" dataDxfId="13"/>
    <tableColumn id="5" name="الجنسية" dataDxfId="12"/>
    <tableColumn id="6" name="تاريخ التعيين" dataDxfId="11"/>
    <tableColumn id="17" name="الإدارة" dataDxfId="10"/>
    <tableColumn id="18" name="القسم" dataDxfId="9"/>
    <tableColumn id="16" name="المسمى الوظيفي" dataDxfId="8"/>
    <tableColumn id="7" name="رقم الجوال" dataDxfId="7"/>
    <tableColumn id="8" name="الإيميل" dataDxfId="0" dataCellStyle="Hyperlink"/>
    <tableColumn id="9" name="رصيد الإجازات الحالي" dataDxfId="6"/>
    <tableColumn id="10" name="الراتب الأساسي" dataDxfId="5"/>
    <tableColumn id="11" name="بدل السكن" dataDxfId="4"/>
    <tableColumn id="12" name="بدل المواصلات" dataDxfId="3"/>
    <tableColumn id="13" name="بدلات أخرى" dataDxfId="2"/>
    <tableColumn id="14" name="الإجمالي" dataDxfId="1">
      <calculatedColumnFormula>IF(COUNT(L4:O4)=0,"",SUM(L4:O4))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47F7779-3308-46A5-9E82-404C53F71AB1}">
  <we:reference id="wa200010215" version="2.0.0.1" store="en-US" storeType="OMEX"/>
  <we:alternateReferences>
    <we:reference id="wa200010215" version="2.0.0.1" store="" storeType="OMEX"/>
  </we:alternateReferences>
  <we:properties>
    <we:property name="bps.codex_control.document_id" value="&quot;01e0cb78-c120-43d1-b639-34092ca46a7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hemakumar852850@gmail.com" TargetMode="External"/><Relationship Id="rId18" Type="http://schemas.openxmlformats.org/officeDocument/2006/relationships/hyperlink" Target="mailto:nooouf8888@gmail.com" TargetMode="External"/><Relationship Id="rId26" Type="http://schemas.openxmlformats.org/officeDocument/2006/relationships/hyperlink" Target="mailto:hassan-1413-2011@gmail.com" TargetMode="External"/><Relationship Id="rId21" Type="http://schemas.openxmlformats.org/officeDocument/2006/relationships/hyperlink" Target="mailto:aaldhnan2020@icloud.com" TargetMode="External"/><Relationship Id="rId34" Type="http://schemas.openxmlformats.org/officeDocument/2006/relationships/hyperlink" Target="mailto:s85721641@gmail.com" TargetMode="External"/><Relationship Id="rId7" Type="http://schemas.openxmlformats.org/officeDocument/2006/relationships/hyperlink" Target="mailto:Bamyr312@gmail.com" TargetMode="External"/><Relationship Id="rId12" Type="http://schemas.openxmlformats.org/officeDocument/2006/relationships/hyperlink" Target="mailto:ibrarhoussion@gmail.com" TargetMode="External"/><Relationship Id="rId17" Type="http://schemas.openxmlformats.org/officeDocument/2006/relationships/hyperlink" Target="mailto:salim737083803@gmail.com" TargetMode="External"/><Relationship Id="rId25" Type="http://schemas.openxmlformats.org/officeDocument/2006/relationships/hyperlink" Target="mailto:basbosabasm@gmail.com" TargetMode="External"/><Relationship Id="rId33" Type="http://schemas.openxmlformats.org/officeDocument/2006/relationships/hyperlink" Target="mailto:moh.imran27@gmail.com" TargetMode="External"/><Relationship Id="rId38" Type="http://schemas.openxmlformats.org/officeDocument/2006/relationships/table" Target="../tables/table1.xml"/><Relationship Id="rId2" Type="http://schemas.openxmlformats.org/officeDocument/2006/relationships/hyperlink" Target="mailto:somayah.salem@jalmajd.com" TargetMode="External"/><Relationship Id="rId16" Type="http://schemas.openxmlformats.org/officeDocument/2006/relationships/hyperlink" Target="mailto:ala501788@gmail.com" TargetMode="External"/><Relationship Id="rId20" Type="http://schemas.openxmlformats.org/officeDocument/2006/relationships/hyperlink" Target="mailto:tamerfaresqw@gmail.com" TargetMode="External"/><Relationship Id="rId29" Type="http://schemas.openxmlformats.org/officeDocument/2006/relationships/hyperlink" Target="mailto:soso3333651@gmail.com" TargetMode="External"/><Relationship Id="rId1" Type="http://schemas.openxmlformats.org/officeDocument/2006/relationships/hyperlink" Target="mailto:ms.zwin85@gmail.com" TargetMode="External"/><Relationship Id="rId6" Type="http://schemas.openxmlformats.org/officeDocument/2006/relationships/hyperlink" Target="mailto:anasiak316@gmail.com" TargetMode="External"/><Relationship Id="rId11" Type="http://schemas.openxmlformats.org/officeDocument/2006/relationships/hyperlink" Target="mailto:hany819000@gmail.com" TargetMode="External"/><Relationship Id="rId24" Type="http://schemas.openxmlformats.org/officeDocument/2006/relationships/hyperlink" Target="mailto:n82794747@gmail.com" TargetMode="External"/><Relationship Id="rId32" Type="http://schemas.openxmlformats.org/officeDocument/2006/relationships/hyperlink" Target="mailto:moh.shakeel76@gmail.com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mailto:hani11479@gmail.com" TargetMode="External"/><Relationship Id="rId15" Type="http://schemas.openxmlformats.org/officeDocument/2006/relationships/hyperlink" Target="mailto:Khaledfawy100@gmail.com" TargetMode="External"/><Relationship Id="rId23" Type="http://schemas.openxmlformats.org/officeDocument/2006/relationships/hyperlink" Target="mailto:aislahmed12@gmail.com" TargetMode="External"/><Relationship Id="rId28" Type="http://schemas.openxmlformats.org/officeDocument/2006/relationships/hyperlink" Target="mailto:binitathapa3399@gmail.com" TargetMode="External"/><Relationship Id="rId36" Type="http://schemas.openxmlformats.org/officeDocument/2006/relationships/hyperlink" Target="mailto:mhmadale2000@icloud.com" TargetMode="External"/><Relationship Id="rId10" Type="http://schemas.openxmlformats.org/officeDocument/2006/relationships/hyperlink" Target="mailto:mostafaelhalwany21@gmail.com" TargetMode="External"/><Relationship Id="rId19" Type="http://schemas.openxmlformats.org/officeDocument/2006/relationships/hyperlink" Target="mailto:randtalukdarmd@gmail.com" TargetMode="External"/><Relationship Id="rId31" Type="http://schemas.openxmlformats.org/officeDocument/2006/relationships/hyperlink" Target="mailto:anso2772@gmail.com" TargetMode="External"/><Relationship Id="rId4" Type="http://schemas.openxmlformats.org/officeDocument/2006/relationships/hyperlink" Target="mailto:ahmedzain@gmail.com" TargetMode="External"/><Relationship Id="rId9" Type="http://schemas.openxmlformats.org/officeDocument/2006/relationships/hyperlink" Target="mailto:Jhaman@058%20gmail.com" TargetMode="External"/><Relationship Id="rId14" Type="http://schemas.openxmlformats.org/officeDocument/2006/relationships/hyperlink" Target="mailto:manbahadur0254@gmail.com" TargetMode="External"/><Relationship Id="rId22" Type="http://schemas.openxmlformats.org/officeDocument/2006/relationships/hyperlink" Target="mailto:nooragahtani00909@gmail.com" TargetMode="External"/><Relationship Id="rId27" Type="http://schemas.openxmlformats.org/officeDocument/2006/relationships/hyperlink" Target="mailto:aassdq28@gmail.com" TargetMode="External"/><Relationship Id="rId30" Type="http://schemas.openxmlformats.org/officeDocument/2006/relationships/hyperlink" Target="mailto:kko.4.5.k@gmail.com" TargetMode="External"/><Relationship Id="rId35" Type="http://schemas.openxmlformats.org/officeDocument/2006/relationships/hyperlink" Target="mailto:rrsas496@gmail.com" TargetMode="External"/><Relationship Id="rId8" Type="http://schemas.openxmlformats.org/officeDocument/2006/relationships/hyperlink" Target="mailto:nababkhan1925@gmail.com" TargetMode="External"/><Relationship Id="rId3" Type="http://schemas.openxmlformats.org/officeDocument/2006/relationships/hyperlink" Target="mailto:lego2012@iclou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5"/>
  <sheetViews>
    <sheetView rightToLeft="1" tabSelected="1" zoomScale="70" zoomScaleNormal="70" workbookViewId="0">
      <pane ySplit="3" topLeftCell="A4" activePane="bottomLeft" state="frozen"/>
      <selection pane="bottomLeft" activeCell="K7" sqref="K7"/>
    </sheetView>
  </sheetViews>
  <sheetFormatPr defaultRowHeight="14.25" x14ac:dyDescent="0.2"/>
  <cols>
    <col min="1" max="1" width="32.75" customWidth="1"/>
    <col min="2" max="2" width="23.625" customWidth="1"/>
    <col min="3" max="3" width="14.5" customWidth="1"/>
    <col min="4" max="4" width="19.125" customWidth="1"/>
    <col min="5" max="5" width="20.875" customWidth="1"/>
    <col min="6" max="7" width="27.25" customWidth="1"/>
    <col min="8" max="8" width="28.125" customWidth="1"/>
    <col min="9" max="9" width="24.5" customWidth="1"/>
    <col min="10" max="10" width="38.125" customWidth="1"/>
    <col min="11" max="11" width="27.25" customWidth="1"/>
    <col min="12" max="15" width="21.875" customWidth="1"/>
    <col min="16" max="16" width="24.5" customWidth="1"/>
  </cols>
  <sheetData>
    <row r="1" spans="1:16" ht="38.1" customHeight="1" x14ac:dyDescent="0.2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ht="27.95" customHeight="1" x14ac:dyDescent="0.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5" t="s">
        <v>13</v>
      </c>
      <c r="M2" s="5">
        <f>COUNTA(#REF!)</f>
        <v>1</v>
      </c>
      <c r="N2" s="4"/>
      <c r="O2" s="5" t="s">
        <v>14</v>
      </c>
      <c r="P2" s="6">
        <f>SUM(EmployeeRoster[الإجمالي])</f>
        <v>154700</v>
      </c>
    </row>
    <row r="3" spans="1:16" ht="42" customHeight="1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16</v>
      </c>
      <c r="G3" s="3" t="s">
        <v>17</v>
      </c>
      <c r="H3" s="3" t="s">
        <v>15</v>
      </c>
      <c r="I3" s="3" t="s">
        <v>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11</v>
      </c>
      <c r="P3" s="3" t="s">
        <v>12</v>
      </c>
    </row>
    <row r="4" spans="1:16" ht="24" customHeight="1" x14ac:dyDescent="0.25">
      <c r="A4" s="8" t="s">
        <v>18</v>
      </c>
      <c r="B4" s="8" t="s">
        <v>70</v>
      </c>
      <c r="C4" s="14" t="s">
        <v>80</v>
      </c>
      <c r="D4" s="8" t="s">
        <v>82</v>
      </c>
      <c r="E4" s="17">
        <v>43781</v>
      </c>
      <c r="F4" s="8" t="s">
        <v>16</v>
      </c>
      <c r="G4" s="8" t="s">
        <v>110</v>
      </c>
      <c r="H4" s="8" t="s">
        <v>122</v>
      </c>
      <c r="I4" s="26" t="s">
        <v>204</v>
      </c>
      <c r="J4" s="28" t="s">
        <v>151</v>
      </c>
      <c r="K4" s="1">
        <v>95</v>
      </c>
      <c r="L4" s="19">
        <v>4000</v>
      </c>
      <c r="M4" s="19">
        <v>0</v>
      </c>
      <c r="N4" s="19">
        <v>0</v>
      </c>
      <c r="O4" s="19">
        <v>500</v>
      </c>
      <c r="P4" s="2">
        <f t="shared" ref="P4:P33" si="0">IF(COUNT(L4:O4)=0,"",SUM(L4:O4))</f>
        <v>4500</v>
      </c>
    </row>
    <row r="5" spans="1:16" ht="24" customHeight="1" x14ac:dyDescent="0.25">
      <c r="A5" s="8" t="s">
        <v>19</v>
      </c>
      <c r="B5" s="9" t="s">
        <v>71</v>
      </c>
      <c r="C5" s="8" t="s">
        <v>81</v>
      </c>
      <c r="D5" s="8" t="s">
        <v>83</v>
      </c>
      <c r="E5" s="17">
        <v>41629</v>
      </c>
      <c r="F5" s="8" t="s">
        <v>16</v>
      </c>
      <c r="G5" s="8" t="s">
        <v>111</v>
      </c>
      <c r="H5" s="8" t="s">
        <v>123</v>
      </c>
      <c r="I5" s="26" t="s">
        <v>205</v>
      </c>
      <c r="J5" s="28" t="s">
        <v>152</v>
      </c>
      <c r="K5" s="1">
        <v>0</v>
      </c>
      <c r="L5" s="19">
        <v>3400</v>
      </c>
      <c r="M5" s="19">
        <v>0</v>
      </c>
      <c r="N5" s="19">
        <v>0</v>
      </c>
      <c r="O5" s="19">
        <v>1100</v>
      </c>
      <c r="P5" s="2">
        <f t="shared" si="0"/>
        <v>4500</v>
      </c>
    </row>
    <row r="6" spans="1:16" ht="24" customHeight="1" x14ac:dyDescent="0.25">
      <c r="A6" s="8" t="s">
        <v>20</v>
      </c>
      <c r="B6" s="9" t="s">
        <v>72</v>
      </c>
      <c r="C6" s="8" t="s">
        <v>81</v>
      </c>
      <c r="D6" s="8" t="s">
        <v>83</v>
      </c>
      <c r="E6" s="17">
        <v>39561</v>
      </c>
      <c r="F6" s="8" t="s">
        <v>16</v>
      </c>
      <c r="G6" s="8" t="s">
        <v>111</v>
      </c>
      <c r="H6" s="8" t="s">
        <v>123</v>
      </c>
      <c r="I6" s="26" t="s">
        <v>206</v>
      </c>
      <c r="J6" s="28" t="s">
        <v>153</v>
      </c>
      <c r="K6" s="1">
        <v>0</v>
      </c>
      <c r="L6" s="19">
        <v>3500</v>
      </c>
      <c r="M6" s="19">
        <v>0</v>
      </c>
      <c r="N6" s="19">
        <v>0</v>
      </c>
      <c r="O6" s="19">
        <v>1000</v>
      </c>
      <c r="P6" s="2">
        <f t="shared" si="0"/>
        <v>4500</v>
      </c>
    </row>
    <row r="7" spans="1:16" ht="24" customHeight="1" x14ac:dyDescent="0.25">
      <c r="A7" s="8" t="s">
        <v>21</v>
      </c>
      <c r="B7" s="9" t="s">
        <v>73</v>
      </c>
      <c r="C7" s="9" t="s">
        <v>81</v>
      </c>
      <c r="D7" s="9" t="s">
        <v>84</v>
      </c>
      <c r="E7" s="17">
        <v>41027</v>
      </c>
      <c r="F7" s="9" t="s">
        <v>102</v>
      </c>
      <c r="G7" s="9" t="s">
        <v>112</v>
      </c>
      <c r="H7" s="9" t="s">
        <v>124</v>
      </c>
      <c r="I7" s="26" t="s">
        <v>207</v>
      </c>
      <c r="J7" s="28" t="s">
        <v>154</v>
      </c>
      <c r="K7" s="1">
        <v>0</v>
      </c>
      <c r="L7" s="19">
        <v>2100</v>
      </c>
      <c r="M7" s="19">
        <v>0</v>
      </c>
      <c r="N7" s="19">
        <v>0</v>
      </c>
      <c r="O7" s="19">
        <v>0</v>
      </c>
      <c r="P7" s="2">
        <f t="shared" si="0"/>
        <v>2100</v>
      </c>
    </row>
    <row r="8" spans="1:16" ht="24" customHeight="1" x14ac:dyDescent="0.25">
      <c r="A8" s="8" t="s">
        <v>22</v>
      </c>
      <c r="B8" s="8" t="s">
        <v>74</v>
      </c>
      <c r="C8" s="9" t="s">
        <v>81</v>
      </c>
      <c r="D8" s="8" t="s">
        <v>85</v>
      </c>
      <c r="E8" s="17">
        <v>40638</v>
      </c>
      <c r="F8" s="8" t="s">
        <v>16</v>
      </c>
      <c r="G8" s="8" t="s">
        <v>113</v>
      </c>
      <c r="H8" s="8" t="s">
        <v>125</v>
      </c>
      <c r="I8" s="26" t="s">
        <v>208</v>
      </c>
      <c r="J8" s="28" t="s">
        <v>155</v>
      </c>
      <c r="K8" s="24">
        <v>17</v>
      </c>
      <c r="L8" s="19">
        <v>5000</v>
      </c>
      <c r="M8" s="19">
        <v>0</v>
      </c>
      <c r="N8" s="19">
        <v>0</v>
      </c>
      <c r="O8" s="19">
        <v>0</v>
      </c>
      <c r="P8" s="2">
        <f t="shared" si="0"/>
        <v>5000</v>
      </c>
    </row>
    <row r="9" spans="1:16" ht="24" customHeight="1" x14ac:dyDescent="0.25">
      <c r="A9" s="8" t="s">
        <v>23</v>
      </c>
      <c r="B9" s="8" t="s">
        <v>75</v>
      </c>
      <c r="C9" s="9" t="s">
        <v>81</v>
      </c>
      <c r="D9" s="8" t="s">
        <v>84</v>
      </c>
      <c r="E9" s="17">
        <v>40611</v>
      </c>
      <c r="F9" s="8" t="s">
        <v>102</v>
      </c>
      <c r="G9" s="8" t="s">
        <v>112</v>
      </c>
      <c r="H9" s="8" t="s">
        <v>124</v>
      </c>
      <c r="I9" s="26" t="s">
        <v>209</v>
      </c>
      <c r="J9" s="28" t="s">
        <v>156</v>
      </c>
      <c r="K9" s="24">
        <v>60</v>
      </c>
      <c r="L9" s="19">
        <v>1400</v>
      </c>
      <c r="M9" s="19">
        <v>0</v>
      </c>
      <c r="N9" s="19">
        <v>0</v>
      </c>
      <c r="O9" s="19">
        <v>500</v>
      </c>
      <c r="P9" s="2">
        <f t="shared" si="0"/>
        <v>1900</v>
      </c>
    </row>
    <row r="10" spans="1:16" ht="24" customHeight="1" x14ac:dyDescent="0.25">
      <c r="A10" s="8" t="s">
        <v>24</v>
      </c>
      <c r="B10" s="9" t="s">
        <v>76</v>
      </c>
      <c r="C10" s="9" t="s">
        <v>81</v>
      </c>
      <c r="D10" s="8" t="s">
        <v>86</v>
      </c>
      <c r="E10" s="17" t="s">
        <v>98</v>
      </c>
      <c r="F10" s="8" t="s">
        <v>103</v>
      </c>
      <c r="G10" s="9" t="s">
        <v>114</v>
      </c>
      <c r="H10" s="8" t="s">
        <v>126</v>
      </c>
      <c r="I10" s="25">
        <v>508607810</v>
      </c>
      <c r="J10" s="28" t="s">
        <v>157</v>
      </c>
      <c r="K10" s="24">
        <v>90</v>
      </c>
      <c r="L10" s="19">
        <v>2200</v>
      </c>
      <c r="M10" s="19">
        <v>0</v>
      </c>
      <c r="N10" s="19">
        <v>0</v>
      </c>
      <c r="O10" s="19">
        <v>700</v>
      </c>
      <c r="P10" s="2">
        <f t="shared" si="0"/>
        <v>2900</v>
      </c>
    </row>
    <row r="11" spans="1:16" ht="24.75" customHeight="1" x14ac:dyDescent="0.25">
      <c r="A11" s="8" t="s">
        <v>25</v>
      </c>
      <c r="B11" s="9" t="s">
        <v>77</v>
      </c>
      <c r="C11" s="9" t="s">
        <v>81</v>
      </c>
      <c r="D11" s="8" t="s">
        <v>87</v>
      </c>
      <c r="E11" s="17" t="s">
        <v>99</v>
      </c>
      <c r="F11" s="8" t="s">
        <v>104</v>
      </c>
      <c r="G11" s="9" t="s">
        <v>112</v>
      </c>
      <c r="H11" s="8" t="s">
        <v>127</v>
      </c>
      <c r="I11" s="25">
        <v>580164615</v>
      </c>
      <c r="J11" s="28" t="s">
        <v>158</v>
      </c>
      <c r="K11" s="1">
        <v>60</v>
      </c>
      <c r="L11" s="19">
        <v>1600</v>
      </c>
      <c r="M11" s="19">
        <v>0</v>
      </c>
      <c r="N11" s="19">
        <v>0</v>
      </c>
      <c r="O11" s="19">
        <v>500</v>
      </c>
      <c r="P11" s="2">
        <f t="shared" si="0"/>
        <v>2100</v>
      </c>
    </row>
    <row r="12" spans="1:16" ht="24" customHeight="1" x14ac:dyDescent="0.25">
      <c r="A12" s="8" t="s">
        <v>26</v>
      </c>
      <c r="B12" s="9" t="s">
        <v>78</v>
      </c>
      <c r="C12" s="9" t="s">
        <v>81</v>
      </c>
      <c r="D12" s="9" t="s">
        <v>84</v>
      </c>
      <c r="E12" s="17">
        <v>45470</v>
      </c>
      <c r="F12" s="9" t="s">
        <v>103</v>
      </c>
      <c r="G12" s="9" t="s">
        <v>115</v>
      </c>
      <c r="H12" s="8" t="s">
        <v>128</v>
      </c>
      <c r="I12" s="26" t="s">
        <v>203</v>
      </c>
      <c r="J12" s="28" t="s">
        <v>159</v>
      </c>
      <c r="K12" s="1">
        <v>0</v>
      </c>
      <c r="L12" s="19">
        <v>1800</v>
      </c>
      <c r="M12" s="19">
        <v>0</v>
      </c>
      <c r="N12" s="19">
        <v>0</v>
      </c>
      <c r="O12" s="19">
        <v>0</v>
      </c>
      <c r="P12" s="2">
        <f t="shared" si="0"/>
        <v>1800</v>
      </c>
    </row>
    <row r="13" spans="1:16" ht="24" customHeight="1" x14ac:dyDescent="0.25">
      <c r="A13" s="8" t="s">
        <v>27</v>
      </c>
      <c r="B13" s="10">
        <v>2300751563</v>
      </c>
      <c r="C13" s="9" t="s">
        <v>81</v>
      </c>
      <c r="D13" s="15" t="s">
        <v>85</v>
      </c>
      <c r="E13" s="17">
        <v>40635</v>
      </c>
      <c r="F13" s="15" t="s">
        <v>105</v>
      </c>
      <c r="G13" s="15" t="s">
        <v>112</v>
      </c>
      <c r="H13" s="18" t="s">
        <v>129</v>
      </c>
      <c r="I13" s="26">
        <v>538834853</v>
      </c>
      <c r="J13" s="28" t="s">
        <v>160</v>
      </c>
      <c r="K13" s="1">
        <v>30</v>
      </c>
      <c r="L13" s="19">
        <v>2300</v>
      </c>
      <c r="M13" s="19">
        <v>0</v>
      </c>
      <c r="N13" s="19">
        <v>0</v>
      </c>
      <c r="O13" s="19">
        <v>700</v>
      </c>
      <c r="P13" s="2">
        <f t="shared" si="0"/>
        <v>3000</v>
      </c>
    </row>
    <row r="14" spans="1:16" ht="24" customHeight="1" x14ac:dyDescent="0.25">
      <c r="A14" s="8" t="s">
        <v>28</v>
      </c>
      <c r="B14" s="11">
        <v>2165360732</v>
      </c>
      <c r="C14" s="9" t="s">
        <v>81</v>
      </c>
      <c r="D14" s="15" t="s">
        <v>88</v>
      </c>
      <c r="E14" s="17" t="s">
        <v>100</v>
      </c>
      <c r="F14" s="15" t="s">
        <v>103</v>
      </c>
      <c r="G14" s="15" t="s">
        <v>116</v>
      </c>
      <c r="H14" s="8" t="s">
        <v>130</v>
      </c>
      <c r="I14" s="26">
        <v>538834853</v>
      </c>
      <c r="J14" s="28" t="s">
        <v>161</v>
      </c>
      <c r="K14" s="1">
        <v>90</v>
      </c>
      <c r="L14" s="19">
        <v>2500</v>
      </c>
      <c r="M14" s="19">
        <v>0</v>
      </c>
      <c r="N14" s="19">
        <v>0</v>
      </c>
      <c r="O14" s="19">
        <v>500</v>
      </c>
      <c r="P14" s="2">
        <f t="shared" si="0"/>
        <v>3000</v>
      </c>
    </row>
    <row r="15" spans="1:16" ht="24" customHeight="1" x14ac:dyDescent="0.25">
      <c r="A15" s="8" t="s">
        <v>29</v>
      </c>
      <c r="B15" s="11">
        <v>2256496775</v>
      </c>
      <c r="C15" s="9" t="s">
        <v>81</v>
      </c>
      <c r="D15" s="15" t="s">
        <v>88</v>
      </c>
      <c r="E15" s="17" t="s">
        <v>99</v>
      </c>
      <c r="F15" s="15" t="s">
        <v>102</v>
      </c>
      <c r="G15" s="15" t="s">
        <v>116</v>
      </c>
      <c r="H15" s="8" t="s">
        <v>131</v>
      </c>
      <c r="I15" s="26">
        <v>557303891</v>
      </c>
      <c r="J15" s="28" t="s">
        <v>162</v>
      </c>
      <c r="K15" s="1">
        <v>90</v>
      </c>
      <c r="L15" s="19">
        <v>1600</v>
      </c>
      <c r="M15" s="19">
        <v>0</v>
      </c>
      <c r="N15" s="19">
        <v>0</v>
      </c>
      <c r="O15" s="19">
        <v>300</v>
      </c>
      <c r="P15" s="2">
        <f t="shared" si="0"/>
        <v>1900</v>
      </c>
    </row>
    <row r="16" spans="1:16" ht="24" customHeight="1" x14ac:dyDescent="0.25">
      <c r="A16" s="8" t="s">
        <v>30</v>
      </c>
      <c r="B16" s="11">
        <v>2256497179</v>
      </c>
      <c r="C16" s="9" t="s">
        <v>81</v>
      </c>
      <c r="D16" s="15" t="s">
        <v>88</v>
      </c>
      <c r="E16" s="17">
        <v>40119</v>
      </c>
      <c r="F16" s="15" t="s">
        <v>103</v>
      </c>
      <c r="G16" s="15" t="s">
        <v>116</v>
      </c>
      <c r="H16" s="8" t="s">
        <v>132</v>
      </c>
      <c r="I16" s="26">
        <v>590973991</v>
      </c>
      <c r="J16" s="28" t="s">
        <v>163</v>
      </c>
      <c r="K16" s="1">
        <v>90</v>
      </c>
      <c r="L16" s="19">
        <v>1900</v>
      </c>
      <c r="M16" s="19">
        <v>0</v>
      </c>
      <c r="N16" s="19">
        <v>0</v>
      </c>
      <c r="O16" s="19">
        <v>400</v>
      </c>
      <c r="P16" s="2">
        <f t="shared" si="0"/>
        <v>2300</v>
      </c>
    </row>
    <row r="17" spans="1:16" ht="24" customHeight="1" x14ac:dyDescent="0.25">
      <c r="A17" s="8" t="s">
        <v>31</v>
      </c>
      <c r="B17" s="11">
        <v>2300752090</v>
      </c>
      <c r="C17" s="9" t="s">
        <v>81</v>
      </c>
      <c r="D17" s="15" t="s">
        <v>88</v>
      </c>
      <c r="E17" s="17">
        <v>40789</v>
      </c>
      <c r="F17" s="15" t="s">
        <v>104</v>
      </c>
      <c r="G17" s="15" t="s">
        <v>112</v>
      </c>
      <c r="H17" s="8" t="s">
        <v>124</v>
      </c>
      <c r="I17" s="26">
        <v>573204398</v>
      </c>
      <c r="J17" s="28" t="s">
        <v>164</v>
      </c>
      <c r="K17" s="1">
        <v>30</v>
      </c>
      <c r="L17" s="19">
        <v>1300</v>
      </c>
      <c r="M17" s="19">
        <v>0</v>
      </c>
      <c r="N17" s="19">
        <v>0</v>
      </c>
      <c r="O17" s="19">
        <v>600</v>
      </c>
      <c r="P17" s="2">
        <f t="shared" si="0"/>
        <v>1900</v>
      </c>
    </row>
    <row r="18" spans="1:16" ht="24" customHeight="1" x14ac:dyDescent="0.25">
      <c r="A18" s="8" t="s">
        <v>32</v>
      </c>
      <c r="B18" s="10">
        <v>2442228090</v>
      </c>
      <c r="C18" s="9" t="s">
        <v>81</v>
      </c>
      <c r="D18" s="15" t="s">
        <v>89</v>
      </c>
      <c r="E18" s="17">
        <v>42898</v>
      </c>
      <c r="F18" s="15" t="s">
        <v>103</v>
      </c>
      <c r="G18" s="15" t="s">
        <v>116</v>
      </c>
      <c r="H18" t="s">
        <v>133</v>
      </c>
      <c r="I18" s="27">
        <v>537133782</v>
      </c>
      <c r="J18" s="28" t="s">
        <v>165</v>
      </c>
      <c r="K18" s="1">
        <v>30</v>
      </c>
      <c r="L18" s="19">
        <v>1500</v>
      </c>
      <c r="M18" s="19">
        <v>0</v>
      </c>
      <c r="N18" s="19">
        <v>0</v>
      </c>
      <c r="O18" s="19">
        <v>200</v>
      </c>
      <c r="P18" s="2">
        <f t="shared" si="0"/>
        <v>1700</v>
      </c>
    </row>
    <row r="19" spans="1:16" ht="24" customHeight="1" x14ac:dyDescent="0.25">
      <c r="A19" s="8" t="s">
        <v>33</v>
      </c>
      <c r="B19" s="10">
        <v>2597471909</v>
      </c>
      <c r="C19" s="9" t="s">
        <v>81</v>
      </c>
      <c r="D19" s="15" t="s">
        <v>83</v>
      </c>
      <c r="E19" s="17">
        <v>45634</v>
      </c>
      <c r="F19" s="15" t="s">
        <v>103</v>
      </c>
      <c r="G19" s="15" t="s">
        <v>116</v>
      </c>
      <c r="H19" t="s">
        <v>127</v>
      </c>
      <c r="I19" s="27">
        <v>543242166</v>
      </c>
      <c r="J19" s="29" t="s">
        <v>166</v>
      </c>
      <c r="K19" s="1">
        <v>0</v>
      </c>
      <c r="L19" s="19">
        <v>2500</v>
      </c>
      <c r="M19" s="19">
        <v>0</v>
      </c>
      <c r="N19" s="19">
        <v>0</v>
      </c>
      <c r="O19" s="19">
        <v>0</v>
      </c>
      <c r="P19" s="2">
        <f t="shared" si="0"/>
        <v>2500</v>
      </c>
    </row>
    <row r="20" spans="1:16" ht="24" customHeight="1" x14ac:dyDescent="0.25">
      <c r="A20" s="8" t="s">
        <v>34</v>
      </c>
      <c r="B20" s="10">
        <v>2467545568</v>
      </c>
      <c r="C20" s="9" t="s">
        <v>81</v>
      </c>
      <c r="D20" s="15" t="s">
        <v>84</v>
      </c>
      <c r="E20" s="17">
        <v>43580</v>
      </c>
      <c r="F20" s="15" t="s">
        <v>103</v>
      </c>
      <c r="G20" s="15" t="s">
        <v>112</v>
      </c>
      <c r="H20" t="s">
        <v>127</v>
      </c>
      <c r="I20" s="27">
        <v>533466873</v>
      </c>
      <c r="J20" s="29" t="s">
        <v>167</v>
      </c>
      <c r="K20" s="1">
        <v>30</v>
      </c>
      <c r="L20" s="19">
        <v>1000</v>
      </c>
      <c r="M20" s="19">
        <v>200</v>
      </c>
      <c r="N20" s="19">
        <v>0</v>
      </c>
      <c r="O20" s="19">
        <v>500</v>
      </c>
      <c r="P20" s="2">
        <f t="shared" si="0"/>
        <v>1700</v>
      </c>
    </row>
    <row r="21" spans="1:16" ht="24" customHeight="1" x14ac:dyDescent="0.25">
      <c r="A21" s="8" t="s">
        <v>35</v>
      </c>
      <c r="B21" s="10">
        <v>2455183125</v>
      </c>
      <c r="C21" s="9" t="s">
        <v>81</v>
      </c>
      <c r="D21" s="15" t="s">
        <v>83</v>
      </c>
      <c r="E21" s="17">
        <v>43242</v>
      </c>
      <c r="F21" s="15" t="s">
        <v>103</v>
      </c>
      <c r="G21" s="15" t="s">
        <v>112</v>
      </c>
      <c r="H21" t="s">
        <v>127</v>
      </c>
      <c r="I21" s="27">
        <v>501669824</v>
      </c>
      <c r="J21" s="29" t="s">
        <v>168</v>
      </c>
      <c r="K21" s="1">
        <v>0</v>
      </c>
      <c r="L21" s="19">
        <v>2400</v>
      </c>
      <c r="M21" s="19">
        <v>0</v>
      </c>
      <c r="N21" s="19">
        <v>0</v>
      </c>
      <c r="O21" s="19">
        <v>0</v>
      </c>
      <c r="P21" s="2">
        <f t="shared" si="0"/>
        <v>2400</v>
      </c>
    </row>
    <row r="22" spans="1:16" ht="24" customHeight="1" x14ac:dyDescent="0.25">
      <c r="A22" s="8" t="s">
        <v>36</v>
      </c>
      <c r="B22" s="10">
        <v>2467149239</v>
      </c>
      <c r="C22" s="9" t="s">
        <v>81</v>
      </c>
      <c r="D22" s="15" t="s">
        <v>89</v>
      </c>
      <c r="E22" s="17">
        <v>43580</v>
      </c>
      <c r="F22" s="15" t="s">
        <v>104</v>
      </c>
      <c r="G22" s="15" t="s">
        <v>112</v>
      </c>
      <c r="H22" t="s">
        <v>127</v>
      </c>
      <c r="I22" s="27">
        <v>570025712</v>
      </c>
      <c r="J22" s="29" t="s">
        <v>169</v>
      </c>
      <c r="K22" s="1">
        <v>30</v>
      </c>
      <c r="L22" s="19">
        <v>1500</v>
      </c>
      <c r="M22" s="19">
        <v>0</v>
      </c>
      <c r="N22" s="19">
        <v>0</v>
      </c>
      <c r="O22" s="19">
        <v>200</v>
      </c>
      <c r="P22" s="2">
        <f t="shared" si="0"/>
        <v>1700</v>
      </c>
    </row>
    <row r="23" spans="1:16" ht="24" customHeight="1" x14ac:dyDescent="0.25">
      <c r="A23" s="8" t="s">
        <v>37</v>
      </c>
      <c r="B23" s="10">
        <v>1106795105</v>
      </c>
      <c r="C23" s="9" t="s">
        <v>81</v>
      </c>
      <c r="D23" s="15" t="s">
        <v>90</v>
      </c>
      <c r="E23" s="17">
        <v>45286</v>
      </c>
      <c r="F23" s="15" t="s">
        <v>103</v>
      </c>
      <c r="G23" s="15" t="s">
        <v>112</v>
      </c>
      <c r="H23" t="s">
        <v>134</v>
      </c>
      <c r="I23" s="27">
        <v>549492179</v>
      </c>
      <c r="J23" s="29" t="s">
        <v>170</v>
      </c>
      <c r="K23" s="1">
        <v>15</v>
      </c>
      <c r="L23" s="19">
        <v>4000</v>
      </c>
      <c r="M23" s="19">
        <v>0</v>
      </c>
      <c r="N23" s="19">
        <v>0</v>
      </c>
      <c r="O23" s="19">
        <v>200</v>
      </c>
      <c r="P23" s="2">
        <f t="shared" si="0"/>
        <v>4200</v>
      </c>
    </row>
    <row r="24" spans="1:16" ht="24" customHeight="1" x14ac:dyDescent="0.25">
      <c r="A24" s="8" t="s">
        <v>38</v>
      </c>
      <c r="B24" s="10">
        <v>2377526534</v>
      </c>
      <c r="C24" s="9" t="s">
        <v>81</v>
      </c>
      <c r="D24" s="15" t="s">
        <v>83</v>
      </c>
      <c r="E24" s="17">
        <v>43605</v>
      </c>
      <c r="F24" s="15" t="s">
        <v>103</v>
      </c>
      <c r="G24" s="15" t="s">
        <v>116</v>
      </c>
      <c r="H24" t="s">
        <v>135</v>
      </c>
      <c r="I24" s="27">
        <v>534265376</v>
      </c>
      <c r="J24" s="29" t="s">
        <v>171</v>
      </c>
      <c r="K24" s="1">
        <v>0</v>
      </c>
      <c r="L24" s="19">
        <v>1300</v>
      </c>
      <c r="M24" s="19">
        <v>500</v>
      </c>
      <c r="N24" s="19">
        <v>0</v>
      </c>
      <c r="O24" s="19">
        <v>600</v>
      </c>
      <c r="P24" s="2">
        <f t="shared" si="0"/>
        <v>2400</v>
      </c>
    </row>
    <row r="25" spans="1:16" ht="24" customHeight="1" x14ac:dyDescent="0.25">
      <c r="A25" s="8" t="s">
        <v>39</v>
      </c>
      <c r="B25" s="12">
        <v>2332837232</v>
      </c>
      <c r="C25" s="9" t="s">
        <v>81</v>
      </c>
      <c r="D25" s="15" t="s">
        <v>91</v>
      </c>
      <c r="E25" s="17">
        <v>43055</v>
      </c>
      <c r="F25" s="15" t="s">
        <v>105</v>
      </c>
      <c r="G25" s="15" t="s">
        <v>112</v>
      </c>
      <c r="H25" t="s">
        <v>136</v>
      </c>
      <c r="I25" s="27">
        <v>543589626</v>
      </c>
      <c r="J25" s="30" t="s">
        <v>172</v>
      </c>
      <c r="K25" s="1">
        <v>60</v>
      </c>
      <c r="L25" s="19">
        <v>1800</v>
      </c>
      <c r="M25" s="19">
        <v>0</v>
      </c>
      <c r="N25" s="19">
        <v>0</v>
      </c>
      <c r="O25" s="19">
        <v>0</v>
      </c>
      <c r="P25" s="2">
        <f t="shared" si="0"/>
        <v>1800</v>
      </c>
    </row>
    <row r="26" spans="1:16" ht="24" customHeight="1" x14ac:dyDescent="0.25">
      <c r="A26" s="8" t="s">
        <v>40</v>
      </c>
      <c r="B26" s="10">
        <v>2534953621</v>
      </c>
      <c r="C26" s="9" t="s">
        <v>81</v>
      </c>
      <c r="D26" s="15" t="s">
        <v>86</v>
      </c>
      <c r="E26" s="17">
        <v>44910</v>
      </c>
      <c r="F26" s="15" t="s">
        <v>106</v>
      </c>
      <c r="G26" s="15" t="s">
        <v>117</v>
      </c>
      <c r="H26" t="s">
        <v>137</v>
      </c>
      <c r="I26" s="27">
        <v>551902379</v>
      </c>
      <c r="J26" s="30" t="s">
        <v>173</v>
      </c>
      <c r="K26" s="1">
        <v>0</v>
      </c>
      <c r="L26" s="19">
        <v>1800</v>
      </c>
      <c r="M26" s="19">
        <v>0</v>
      </c>
      <c r="N26" s="19">
        <v>0</v>
      </c>
      <c r="O26" s="19">
        <v>0</v>
      </c>
      <c r="P26" s="2">
        <f t="shared" si="0"/>
        <v>1800</v>
      </c>
    </row>
    <row r="27" spans="1:16" ht="24" customHeight="1" x14ac:dyDescent="0.25">
      <c r="A27" s="8" t="s">
        <v>41</v>
      </c>
      <c r="B27" s="10">
        <v>2497963237</v>
      </c>
      <c r="C27" s="9" t="s">
        <v>81</v>
      </c>
      <c r="D27" s="15" t="s">
        <v>93</v>
      </c>
      <c r="E27" s="17">
        <v>45012</v>
      </c>
      <c r="F27" s="15" t="s">
        <v>107</v>
      </c>
      <c r="G27" s="15" t="s">
        <v>107</v>
      </c>
      <c r="H27" t="s">
        <v>138</v>
      </c>
      <c r="I27" s="27">
        <v>566809634</v>
      </c>
      <c r="J27" s="30" t="s">
        <v>174</v>
      </c>
      <c r="K27" s="1">
        <v>0</v>
      </c>
      <c r="L27" s="19">
        <v>1800</v>
      </c>
      <c r="M27" s="19">
        <v>0</v>
      </c>
      <c r="N27" s="19">
        <v>0</v>
      </c>
      <c r="O27" s="19">
        <v>0</v>
      </c>
      <c r="P27" s="2">
        <f t="shared" si="0"/>
        <v>1800</v>
      </c>
    </row>
    <row r="28" spans="1:16" ht="24" customHeight="1" x14ac:dyDescent="0.25">
      <c r="A28" s="8" t="s">
        <v>42</v>
      </c>
      <c r="B28" s="10">
        <v>2431370739</v>
      </c>
      <c r="C28" s="9" t="s">
        <v>81</v>
      </c>
      <c r="D28" s="15" t="s">
        <v>93</v>
      </c>
      <c r="E28" s="17">
        <v>44635</v>
      </c>
      <c r="F28" s="15" t="s">
        <v>104</v>
      </c>
      <c r="G28" s="15" t="s">
        <v>112</v>
      </c>
      <c r="H28" t="s">
        <v>125</v>
      </c>
      <c r="I28" s="27">
        <v>553089330</v>
      </c>
      <c r="J28" s="31" t="s">
        <v>175</v>
      </c>
      <c r="K28" s="1">
        <v>0</v>
      </c>
      <c r="L28" s="19">
        <v>2000</v>
      </c>
      <c r="M28" s="19">
        <v>0</v>
      </c>
      <c r="N28" s="19">
        <v>0</v>
      </c>
      <c r="O28" s="19">
        <v>2200</v>
      </c>
      <c r="P28" s="2">
        <f t="shared" si="0"/>
        <v>4200</v>
      </c>
    </row>
    <row r="29" spans="1:16" ht="24" customHeight="1" x14ac:dyDescent="0.25">
      <c r="A29" s="8" t="s">
        <v>43</v>
      </c>
      <c r="B29" s="10">
        <v>2522358940</v>
      </c>
      <c r="C29" s="9" t="s">
        <v>81</v>
      </c>
      <c r="D29" s="15" t="s">
        <v>94</v>
      </c>
      <c r="E29" s="17">
        <v>44773</v>
      </c>
      <c r="F29" s="15" t="s">
        <v>103</v>
      </c>
      <c r="G29" s="15" t="s">
        <v>112</v>
      </c>
      <c r="H29" t="s">
        <v>127</v>
      </c>
      <c r="I29" s="27">
        <v>572591881</v>
      </c>
      <c r="J29" s="31" t="s">
        <v>176</v>
      </c>
      <c r="K29" s="1">
        <v>21</v>
      </c>
      <c r="L29" s="19">
        <v>1600</v>
      </c>
      <c r="M29" s="19">
        <v>0</v>
      </c>
      <c r="N29" s="19">
        <v>0</v>
      </c>
      <c r="O29" s="19">
        <v>0</v>
      </c>
      <c r="P29" s="2">
        <f t="shared" si="0"/>
        <v>1600</v>
      </c>
    </row>
    <row r="30" spans="1:16" ht="24" customHeight="1" x14ac:dyDescent="0.25">
      <c r="A30" s="8" t="s">
        <v>44</v>
      </c>
      <c r="B30" s="10">
        <v>2520369931</v>
      </c>
      <c r="C30" s="9" t="s">
        <v>81</v>
      </c>
      <c r="D30" s="15" t="s">
        <v>94</v>
      </c>
      <c r="E30" s="17">
        <v>44773</v>
      </c>
      <c r="F30" s="15" t="s">
        <v>103</v>
      </c>
      <c r="G30" s="15" t="s">
        <v>114</v>
      </c>
      <c r="H30" t="s">
        <v>127</v>
      </c>
      <c r="I30" s="27">
        <v>572673746</v>
      </c>
      <c r="J30" s="31" t="s">
        <v>177</v>
      </c>
      <c r="K30" s="1">
        <v>84</v>
      </c>
      <c r="L30" s="19">
        <v>1700</v>
      </c>
      <c r="M30" s="19">
        <v>0</v>
      </c>
      <c r="N30" s="19">
        <v>0</v>
      </c>
      <c r="O30" s="19">
        <v>0</v>
      </c>
      <c r="P30" s="2">
        <f t="shared" si="0"/>
        <v>1700</v>
      </c>
    </row>
    <row r="31" spans="1:16" ht="24" customHeight="1" x14ac:dyDescent="0.25">
      <c r="A31" s="8" t="s">
        <v>45</v>
      </c>
      <c r="B31" s="10">
        <v>2391840614</v>
      </c>
      <c r="C31" s="9" t="s">
        <v>81</v>
      </c>
      <c r="D31" s="15" t="s">
        <v>95</v>
      </c>
      <c r="E31" s="17">
        <v>42196</v>
      </c>
      <c r="F31" s="15" t="s">
        <v>107</v>
      </c>
      <c r="G31" s="15" t="s">
        <v>107</v>
      </c>
      <c r="H31" t="s">
        <v>139</v>
      </c>
      <c r="I31" s="27">
        <v>581805021</v>
      </c>
      <c r="J31" s="30" t="s">
        <v>178</v>
      </c>
      <c r="K31" s="1">
        <v>0</v>
      </c>
      <c r="L31" s="19">
        <v>1300</v>
      </c>
      <c r="M31" s="19">
        <v>0</v>
      </c>
      <c r="N31" s="19">
        <v>0</v>
      </c>
      <c r="O31" s="19">
        <v>600</v>
      </c>
      <c r="P31" s="2">
        <f t="shared" si="0"/>
        <v>1900</v>
      </c>
    </row>
    <row r="32" spans="1:16" ht="24" customHeight="1" x14ac:dyDescent="0.25">
      <c r="A32" s="8" t="s">
        <v>46</v>
      </c>
      <c r="B32" s="10" t="s">
        <v>79</v>
      </c>
      <c r="C32" s="9" t="s">
        <v>81</v>
      </c>
      <c r="D32" s="15" t="s">
        <v>95</v>
      </c>
      <c r="E32" s="17">
        <v>42196</v>
      </c>
      <c r="F32" s="15" t="s">
        <v>107</v>
      </c>
      <c r="G32" s="15" t="s">
        <v>107</v>
      </c>
      <c r="H32" t="s">
        <v>140</v>
      </c>
      <c r="I32" s="27">
        <v>581813082</v>
      </c>
      <c r="J32" s="30" t="s">
        <v>179</v>
      </c>
      <c r="K32" s="24">
        <v>30</v>
      </c>
      <c r="L32" s="19">
        <v>1800</v>
      </c>
      <c r="M32" s="19">
        <v>0</v>
      </c>
      <c r="N32" s="19">
        <v>0</v>
      </c>
      <c r="O32" s="19">
        <v>0</v>
      </c>
      <c r="P32" s="2">
        <f t="shared" si="0"/>
        <v>1800</v>
      </c>
    </row>
    <row r="33" spans="1:16" ht="24" customHeight="1" x14ac:dyDescent="0.25">
      <c r="A33" s="8" t="s">
        <v>47</v>
      </c>
      <c r="B33" s="10">
        <v>1115641464</v>
      </c>
      <c r="C33" s="15" t="s">
        <v>80</v>
      </c>
      <c r="D33" s="15" t="s">
        <v>82</v>
      </c>
      <c r="E33" s="17">
        <v>45495</v>
      </c>
      <c r="F33" s="15" t="s">
        <v>103</v>
      </c>
      <c r="G33" s="15" t="s">
        <v>112</v>
      </c>
      <c r="H33" t="s">
        <v>141</v>
      </c>
      <c r="I33" s="27">
        <v>565772522</v>
      </c>
      <c r="J33" s="30" t="s">
        <v>180</v>
      </c>
      <c r="K33" s="1">
        <v>18</v>
      </c>
      <c r="L33" s="19">
        <v>4000</v>
      </c>
      <c r="M33" s="19">
        <v>0</v>
      </c>
      <c r="N33" s="19">
        <v>0</v>
      </c>
      <c r="O33" s="19">
        <v>0</v>
      </c>
      <c r="P33" s="2">
        <f t="shared" si="0"/>
        <v>4000</v>
      </c>
    </row>
    <row r="34" spans="1:16" ht="24" customHeight="1" x14ac:dyDescent="0.25">
      <c r="A34" s="8" t="s">
        <v>48</v>
      </c>
      <c r="B34" s="10">
        <v>2416350680</v>
      </c>
      <c r="C34" s="15" t="s">
        <v>81</v>
      </c>
      <c r="D34" s="15" t="s">
        <v>96</v>
      </c>
      <c r="E34" s="17" t="s">
        <v>101</v>
      </c>
      <c r="F34" t="s">
        <v>106</v>
      </c>
      <c r="G34" s="15" t="s">
        <v>118</v>
      </c>
      <c r="H34" t="s">
        <v>142</v>
      </c>
      <c r="I34" s="27">
        <v>538696620</v>
      </c>
      <c r="J34" s="32" t="s">
        <v>181</v>
      </c>
      <c r="K34" s="1">
        <v>60</v>
      </c>
      <c r="L34" s="19">
        <v>1500</v>
      </c>
      <c r="M34" s="19">
        <v>0</v>
      </c>
      <c r="N34" s="19">
        <v>0</v>
      </c>
      <c r="O34" s="19">
        <v>400</v>
      </c>
      <c r="P34" s="2">
        <f t="shared" ref="P34:P51" si="1">IF(COUNT(L34:O34)=0,"",SUM(L34:O34))</f>
        <v>1900</v>
      </c>
    </row>
    <row r="35" spans="1:16" ht="24" customHeight="1" x14ac:dyDescent="0.25">
      <c r="A35" s="8" t="s">
        <v>49</v>
      </c>
      <c r="B35" s="10">
        <v>2378089417</v>
      </c>
      <c r="C35" s="15" t="s">
        <v>81</v>
      </c>
      <c r="D35" s="15" t="s">
        <v>87</v>
      </c>
      <c r="E35" s="17">
        <v>41985</v>
      </c>
      <c r="F35" t="s">
        <v>104</v>
      </c>
      <c r="G35" s="15" t="s">
        <v>112</v>
      </c>
      <c r="H35" t="s">
        <v>127</v>
      </c>
      <c r="I35" s="27">
        <v>598491866</v>
      </c>
      <c r="J35" s="32" t="s">
        <v>182</v>
      </c>
      <c r="K35" s="1">
        <v>120</v>
      </c>
      <c r="L35" s="19">
        <v>1100</v>
      </c>
      <c r="M35" s="19">
        <v>0</v>
      </c>
      <c r="N35" s="19">
        <v>0</v>
      </c>
      <c r="O35" s="19">
        <v>700</v>
      </c>
      <c r="P35" s="2">
        <f t="shared" si="1"/>
        <v>1800</v>
      </c>
    </row>
    <row r="36" spans="1:16" ht="24" customHeight="1" x14ac:dyDescent="0.25">
      <c r="A36" s="8" t="s">
        <v>50</v>
      </c>
      <c r="B36" s="10">
        <v>2544525674</v>
      </c>
      <c r="C36" s="15" t="s">
        <v>81</v>
      </c>
      <c r="D36" s="15" t="s">
        <v>92</v>
      </c>
      <c r="E36" s="17">
        <v>44915</v>
      </c>
      <c r="F36" t="s">
        <v>102</v>
      </c>
      <c r="G36" s="15" t="s">
        <v>114</v>
      </c>
      <c r="H36" t="s">
        <v>137</v>
      </c>
      <c r="I36" s="27">
        <v>558262270</v>
      </c>
      <c r="J36" s="32" t="s">
        <v>183</v>
      </c>
      <c r="K36" s="1">
        <v>21</v>
      </c>
      <c r="L36" s="19">
        <v>1700</v>
      </c>
      <c r="M36" s="19">
        <v>0</v>
      </c>
      <c r="N36" s="19">
        <v>0</v>
      </c>
      <c r="O36" s="19">
        <v>0</v>
      </c>
      <c r="P36" s="2">
        <f t="shared" si="1"/>
        <v>1700</v>
      </c>
    </row>
    <row r="37" spans="1:16" ht="24" customHeight="1" x14ac:dyDescent="0.25">
      <c r="A37" s="8" t="s">
        <v>51</v>
      </c>
      <c r="B37" s="10">
        <v>2391081326</v>
      </c>
      <c r="C37" s="15" t="s">
        <v>81</v>
      </c>
      <c r="D37" s="15" t="s">
        <v>95</v>
      </c>
      <c r="E37" s="17">
        <v>42196</v>
      </c>
      <c r="F37" t="s">
        <v>106</v>
      </c>
      <c r="G37" s="15" t="s">
        <v>117</v>
      </c>
      <c r="H37" t="s">
        <v>143</v>
      </c>
      <c r="I37" s="27">
        <v>592295729</v>
      </c>
      <c r="J37" s="32" t="s">
        <v>184</v>
      </c>
      <c r="K37" s="1">
        <v>30</v>
      </c>
      <c r="L37" s="19">
        <v>2000</v>
      </c>
      <c r="M37" s="19">
        <v>0</v>
      </c>
      <c r="N37" s="19">
        <v>0</v>
      </c>
      <c r="O37" s="19">
        <v>0</v>
      </c>
      <c r="P37" s="2">
        <f t="shared" si="1"/>
        <v>2000</v>
      </c>
    </row>
    <row r="38" spans="1:16" ht="24" customHeight="1" x14ac:dyDescent="0.25">
      <c r="A38" s="8" t="s">
        <v>52</v>
      </c>
      <c r="B38" s="10">
        <v>2573815988</v>
      </c>
      <c r="C38" s="15" t="s">
        <v>81</v>
      </c>
      <c r="D38" s="15" t="s">
        <v>93</v>
      </c>
      <c r="E38" s="17">
        <v>45418</v>
      </c>
      <c r="F38" t="s">
        <v>103</v>
      </c>
      <c r="G38" s="15" t="s">
        <v>116</v>
      </c>
      <c r="H38" t="s">
        <v>132</v>
      </c>
      <c r="I38" s="27">
        <v>548735969</v>
      </c>
      <c r="J38" s="32" t="s">
        <v>185</v>
      </c>
      <c r="K38" s="1">
        <v>0</v>
      </c>
      <c r="L38" s="19">
        <v>4000</v>
      </c>
      <c r="M38" s="19">
        <v>0</v>
      </c>
      <c r="N38" s="19">
        <v>0</v>
      </c>
      <c r="O38" s="19">
        <v>0</v>
      </c>
      <c r="P38" s="2">
        <f t="shared" si="1"/>
        <v>4000</v>
      </c>
    </row>
    <row r="39" spans="1:16" ht="24" customHeight="1" x14ac:dyDescent="0.25">
      <c r="A39" s="8" t="s">
        <v>53</v>
      </c>
      <c r="B39" s="10">
        <v>1120256498</v>
      </c>
      <c r="C39" s="15" t="s">
        <v>81</v>
      </c>
      <c r="D39" s="15" t="s">
        <v>90</v>
      </c>
      <c r="E39" s="17">
        <v>45699</v>
      </c>
      <c r="F39" t="s">
        <v>103</v>
      </c>
      <c r="G39" s="15" t="s">
        <v>119</v>
      </c>
      <c r="H39" t="s">
        <v>144</v>
      </c>
      <c r="I39" s="27">
        <v>590406658</v>
      </c>
      <c r="J39" s="32" t="s">
        <v>186</v>
      </c>
      <c r="K39" s="1">
        <v>1</v>
      </c>
      <c r="L39" s="19">
        <v>4000</v>
      </c>
      <c r="M39" s="19">
        <v>0</v>
      </c>
      <c r="N39" s="19">
        <v>0</v>
      </c>
      <c r="O39" s="19">
        <v>0</v>
      </c>
      <c r="P39" s="2">
        <f t="shared" si="1"/>
        <v>4000</v>
      </c>
    </row>
    <row r="40" spans="1:16" ht="24" customHeight="1" x14ac:dyDescent="0.25">
      <c r="A40" s="8" t="s">
        <v>54</v>
      </c>
      <c r="B40" s="10">
        <v>1052910237</v>
      </c>
      <c r="C40" s="15" t="s">
        <v>80</v>
      </c>
      <c r="D40" s="15" t="s">
        <v>97</v>
      </c>
      <c r="E40" s="17">
        <v>44720</v>
      </c>
      <c r="F40" t="s">
        <v>16</v>
      </c>
      <c r="G40" s="15" t="s">
        <v>16</v>
      </c>
      <c r="H40" t="s">
        <v>145</v>
      </c>
      <c r="I40" s="27">
        <v>550787712</v>
      </c>
      <c r="J40" s="32" t="s">
        <v>187</v>
      </c>
      <c r="K40" s="1">
        <v>84</v>
      </c>
      <c r="L40" s="19">
        <v>4000</v>
      </c>
      <c r="M40" s="19">
        <v>0</v>
      </c>
      <c r="N40" s="19">
        <v>0</v>
      </c>
      <c r="O40" s="19">
        <v>0</v>
      </c>
      <c r="P40" s="2">
        <f t="shared" si="1"/>
        <v>4000</v>
      </c>
    </row>
    <row r="41" spans="1:16" ht="24" customHeight="1" x14ac:dyDescent="0.25">
      <c r="A41" s="8" t="s">
        <v>55</v>
      </c>
      <c r="B41" s="10">
        <v>2532635725</v>
      </c>
      <c r="C41" s="15" t="s">
        <v>81</v>
      </c>
      <c r="D41" s="15" t="s">
        <v>83</v>
      </c>
      <c r="E41" s="17">
        <v>44870</v>
      </c>
      <c r="F41" t="s">
        <v>108</v>
      </c>
      <c r="G41" s="15" t="s">
        <v>116</v>
      </c>
      <c r="H41" t="s">
        <v>132</v>
      </c>
      <c r="I41" s="27">
        <v>582163097</v>
      </c>
      <c r="J41" s="32" t="s">
        <v>188</v>
      </c>
      <c r="K41" s="1">
        <v>0</v>
      </c>
      <c r="L41" s="19">
        <v>2300</v>
      </c>
      <c r="M41" s="19">
        <v>0</v>
      </c>
      <c r="N41" s="19">
        <v>0</v>
      </c>
      <c r="O41" s="19">
        <v>0</v>
      </c>
      <c r="P41" s="2">
        <f t="shared" si="1"/>
        <v>2300</v>
      </c>
    </row>
    <row r="42" spans="1:16" ht="24" customHeight="1" x14ac:dyDescent="0.25">
      <c r="A42" s="8" t="s">
        <v>56</v>
      </c>
      <c r="B42" s="10">
        <v>2413158649</v>
      </c>
      <c r="C42" s="15" t="s">
        <v>81</v>
      </c>
      <c r="D42" s="15" t="s">
        <v>96</v>
      </c>
      <c r="E42" s="17">
        <v>44303</v>
      </c>
      <c r="F42" t="s">
        <v>103</v>
      </c>
      <c r="G42" s="15" t="s">
        <v>112</v>
      </c>
      <c r="H42" t="s">
        <v>127</v>
      </c>
      <c r="I42" s="27">
        <v>578417163</v>
      </c>
      <c r="J42" s="30" t="s">
        <v>189</v>
      </c>
      <c r="K42" s="1">
        <v>42</v>
      </c>
      <c r="L42" s="19">
        <v>1800</v>
      </c>
      <c r="M42" s="19">
        <v>0</v>
      </c>
      <c r="N42" s="19">
        <v>0</v>
      </c>
      <c r="O42" s="19">
        <v>0</v>
      </c>
      <c r="P42" s="2">
        <f t="shared" si="1"/>
        <v>1800</v>
      </c>
    </row>
    <row r="43" spans="1:16" ht="24" customHeight="1" x14ac:dyDescent="0.25">
      <c r="A43" s="8" t="s">
        <v>57</v>
      </c>
      <c r="B43" s="10">
        <v>2573815962</v>
      </c>
      <c r="C43" s="15" t="s">
        <v>81</v>
      </c>
      <c r="D43" s="15" t="s">
        <v>83</v>
      </c>
      <c r="E43" s="17">
        <v>45418</v>
      </c>
      <c r="F43" t="s">
        <v>103</v>
      </c>
      <c r="G43" s="15" t="s">
        <v>116</v>
      </c>
      <c r="H43" t="s">
        <v>132</v>
      </c>
      <c r="I43" s="27">
        <v>549690347</v>
      </c>
      <c r="J43" s="32" t="s">
        <v>190</v>
      </c>
      <c r="K43" s="1">
        <v>21</v>
      </c>
      <c r="L43" s="19">
        <v>3000</v>
      </c>
      <c r="M43" s="19">
        <v>0</v>
      </c>
      <c r="N43" s="19">
        <v>0</v>
      </c>
      <c r="O43" s="19">
        <v>0</v>
      </c>
      <c r="P43" s="2">
        <f t="shared" si="1"/>
        <v>3000</v>
      </c>
    </row>
    <row r="44" spans="1:16" ht="24" customHeight="1" x14ac:dyDescent="0.25">
      <c r="A44" s="8" t="s">
        <v>58</v>
      </c>
      <c r="B44" s="10">
        <v>1055798134</v>
      </c>
      <c r="C44" s="15" t="s">
        <v>81</v>
      </c>
      <c r="D44" s="15" t="s">
        <v>90</v>
      </c>
      <c r="E44" s="17">
        <v>42644</v>
      </c>
      <c r="F44" t="s">
        <v>16</v>
      </c>
      <c r="G44" s="15" t="s">
        <v>16</v>
      </c>
      <c r="H44" t="s">
        <v>146</v>
      </c>
      <c r="I44" s="27">
        <v>545300003</v>
      </c>
      <c r="J44" s="32" t="s">
        <v>191</v>
      </c>
      <c r="K44" s="1">
        <v>172</v>
      </c>
      <c r="L44" s="19">
        <v>10000</v>
      </c>
      <c r="M44" s="19">
        <v>0</v>
      </c>
      <c r="N44" s="19">
        <v>0</v>
      </c>
      <c r="O44" s="19">
        <v>0</v>
      </c>
      <c r="P44" s="2">
        <f t="shared" si="1"/>
        <v>10000</v>
      </c>
    </row>
    <row r="45" spans="1:16" ht="24" customHeight="1" x14ac:dyDescent="0.25">
      <c r="A45" s="8" t="s">
        <v>59</v>
      </c>
      <c r="B45" s="10">
        <v>1078289384</v>
      </c>
      <c r="C45" s="15" t="s">
        <v>81</v>
      </c>
      <c r="D45" s="15" t="s">
        <v>90</v>
      </c>
      <c r="E45" s="17">
        <v>44514</v>
      </c>
      <c r="F45" t="s">
        <v>102</v>
      </c>
      <c r="G45" s="15" t="s">
        <v>119</v>
      </c>
      <c r="H45" t="s">
        <v>144</v>
      </c>
      <c r="I45" s="27">
        <v>530590521</v>
      </c>
      <c r="J45" s="32" t="s">
        <v>192</v>
      </c>
      <c r="K45" s="1">
        <v>20</v>
      </c>
      <c r="L45" s="19">
        <v>4000</v>
      </c>
      <c r="M45" s="19">
        <v>0</v>
      </c>
      <c r="N45" s="19">
        <v>0</v>
      </c>
      <c r="O45" s="19">
        <v>0</v>
      </c>
      <c r="P45" s="2">
        <f t="shared" si="1"/>
        <v>4000</v>
      </c>
    </row>
    <row r="46" spans="1:16" ht="24" customHeight="1" x14ac:dyDescent="0.25">
      <c r="A46" s="8" t="s">
        <v>60</v>
      </c>
      <c r="B46" s="10">
        <v>1012508964</v>
      </c>
      <c r="C46" s="15" t="s">
        <v>81</v>
      </c>
      <c r="D46" s="15" t="s">
        <v>90</v>
      </c>
      <c r="E46" s="17">
        <v>41497</v>
      </c>
      <c r="F46" t="s">
        <v>109</v>
      </c>
      <c r="G46" s="15" t="s">
        <v>112</v>
      </c>
      <c r="H46" t="s">
        <v>134</v>
      </c>
      <c r="I46" s="27">
        <v>551662297</v>
      </c>
      <c r="J46" s="32" t="s">
        <v>193</v>
      </c>
      <c r="K46" s="1">
        <v>174</v>
      </c>
      <c r="L46" s="19">
        <v>4000</v>
      </c>
      <c r="M46" s="19">
        <v>0</v>
      </c>
      <c r="N46" s="19">
        <v>0</v>
      </c>
      <c r="O46" s="19">
        <v>1400</v>
      </c>
      <c r="P46" s="2">
        <f t="shared" si="1"/>
        <v>5400</v>
      </c>
    </row>
    <row r="47" spans="1:16" ht="24" customHeight="1" x14ac:dyDescent="0.25">
      <c r="A47" s="8" t="s">
        <v>61</v>
      </c>
      <c r="B47" s="10">
        <v>2501339549</v>
      </c>
      <c r="C47" s="15" t="s">
        <v>81</v>
      </c>
      <c r="D47" s="15" t="s">
        <v>88</v>
      </c>
      <c r="E47" s="17">
        <v>44448</v>
      </c>
      <c r="F47" t="s">
        <v>103</v>
      </c>
      <c r="G47" s="15" t="s">
        <v>112</v>
      </c>
      <c r="H47" t="s">
        <v>127</v>
      </c>
      <c r="I47" s="27">
        <v>594406757</v>
      </c>
      <c r="J47" s="32" t="s">
        <v>194</v>
      </c>
      <c r="K47" s="1">
        <v>0</v>
      </c>
      <c r="L47" s="19">
        <v>1600</v>
      </c>
      <c r="M47" s="19">
        <v>0</v>
      </c>
      <c r="N47" s="19">
        <v>0</v>
      </c>
      <c r="O47" s="19">
        <v>100</v>
      </c>
      <c r="P47" s="2">
        <f t="shared" si="1"/>
        <v>1700</v>
      </c>
    </row>
    <row r="48" spans="1:16" ht="24" customHeight="1" x14ac:dyDescent="0.25">
      <c r="A48" s="8" t="s">
        <v>62</v>
      </c>
      <c r="B48" s="10">
        <v>2576332072</v>
      </c>
      <c r="C48" s="15" t="s">
        <v>81</v>
      </c>
      <c r="D48" s="15" t="s">
        <v>83</v>
      </c>
      <c r="E48" s="17">
        <v>45443</v>
      </c>
      <c r="F48" t="s">
        <v>102</v>
      </c>
      <c r="G48" s="15" t="s">
        <v>120</v>
      </c>
      <c r="H48" t="s">
        <v>133</v>
      </c>
      <c r="I48" s="27" t="s">
        <v>150</v>
      </c>
      <c r="J48" s="32" t="s">
        <v>195</v>
      </c>
      <c r="K48" s="1">
        <v>0</v>
      </c>
      <c r="L48" s="19">
        <v>2000</v>
      </c>
      <c r="M48" s="19">
        <v>0</v>
      </c>
      <c r="N48" s="19">
        <v>0</v>
      </c>
      <c r="O48" s="19">
        <v>0</v>
      </c>
      <c r="P48" s="2">
        <f t="shared" si="1"/>
        <v>2000</v>
      </c>
    </row>
    <row r="49" spans="1:16" ht="24" customHeight="1" x14ac:dyDescent="0.25">
      <c r="A49" s="8" t="s">
        <v>63</v>
      </c>
      <c r="B49" s="10">
        <v>1135619938</v>
      </c>
      <c r="C49" s="15" t="s">
        <v>80</v>
      </c>
      <c r="D49" s="15" t="s">
        <v>97</v>
      </c>
      <c r="E49" s="17">
        <v>45200</v>
      </c>
      <c r="F49" t="s">
        <v>103</v>
      </c>
      <c r="G49" s="15" t="s">
        <v>112</v>
      </c>
      <c r="H49" t="s">
        <v>147</v>
      </c>
      <c r="I49" s="27">
        <v>509598959</v>
      </c>
      <c r="J49" s="32" t="s">
        <v>196</v>
      </c>
      <c r="K49" s="1">
        <v>17</v>
      </c>
      <c r="L49" s="19">
        <v>4000</v>
      </c>
      <c r="M49" s="19">
        <v>0</v>
      </c>
      <c r="N49" s="19">
        <v>0</v>
      </c>
      <c r="O49" s="19">
        <v>0</v>
      </c>
      <c r="P49" s="2">
        <f t="shared" si="1"/>
        <v>4000</v>
      </c>
    </row>
    <row r="50" spans="1:16" ht="24" customHeight="1" x14ac:dyDescent="0.25">
      <c r="A50" s="8" t="s">
        <v>64</v>
      </c>
      <c r="B50" s="10">
        <v>1021592801</v>
      </c>
      <c r="C50" s="15" t="s">
        <v>81</v>
      </c>
      <c r="D50" s="15" t="s">
        <v>90</v>
      </c>
      <c r="E50" s="17">
        <v>45057</v>
      </c>
      <c r="F50" t="s">
        <v>16</v>
      </c>
      <c r="G50" s="15" t="s">
        <v>121</v>
      </c>
      <c r="H50" t="s">
        <v>148</v>
      </c>
      <c r="I50" s="27">
        <v>553162772</v>
      </c>
      <c r="J50" s="32" t="s">
        <v>197</v>
      </c>
      <c r="K50" s="1">
        <v>15</v>
      </c>
      <c r="L50" s="19">
        <v>4000</v>
      </c>
      <c r="M50" s="19">
        <v>0</v>
      </c>
      <c r="N50" s="19">
        <v>0</v>
      </c>
      <c r="O50" s="19">
        <v>0</v>
      </c>
      <c r="P50" s="2">
        <f t="shared" si="1"/>
        <v>4000</v>
      </c>
    </row>
    <row r="51" spans="1:16" ht="24" customHeight="1" x14ac:dyDescent="0.25">
      <c r="A51" s="8" t="s">
        <v>65</v>
      </c>
      <c r="B51" s="10">
        <v>2328836750</v>
      </c>
      <c r="C51" s="7" t="s">
        <v>81</v>
      </c>
      <c r="D51" s="7" t="s">
        <v>84</v>
      </c>
      <c r="E51" s="17">
        <v>41188</v>
      </c>
      <c r="F51" t="s">
        <v>16</v>
      </c>
      <c r="G51" s="7" t="s">
        <v>113</v>
      </c>
      <c r="H51" t="s">
        <v>149</v>
      </c>
      <c r="I51" s="27">
        <v>503674387</v>
      </c>
      <c r="J51" s="33" t="s">
        <v>198</v>
      </c>
      <c r="K51" s="1">
        <v>60</v>
      </c>
      <c r="L51" s="20">
        <v>4800</v>
      </c>
      <c r="M51" s="19">
        <v>0</v>
      </c>
      <c r="N51" s="19">
        <v>0</v>
      </c>
      <c r="O51" s="19">
        <v>0</v>
      </c>
      <c r="P51" s="2">
        <f t="shared" si="1"/>
        <v>4800</v>
      </c>
    </row>
    <row r="52" spans="1:16" ht="15" x14ac:dyDescent="0.25">
      <c r="A52" s="8" t="s">
        <v>66</v>
      </c>
      <c r="B52" s="13">
        <v>2452771989</v>
      </c>
      <c r="C52" s="7" t="s">
        <v>81</v>
      </c>
      <c r="D52" s="7" t="s">
        <v>84</v>
      </c>
      <c r="E52" s="17">
        <v>43207</v>
      </c>
      <c r="F52" t="s">
        <v>102</v>
      </c>
      <c r="G52" s="7" t="s">
        <v>116</v>
      </c>
      <c r="H52" t="s">
        <v>132</v>
      </c>
      <c r="I52" s="27">
        <v>573280042</v>
      </c>
      <c r="J52" s="33" t="s">
        <v>199</v>
      </c>
      <c r="K52" s="1">
        <v>60</v>
      </c>
      <c r="L52" s="20">
        <v>1700</v>
      </c>
      <c r="M52" s="19">
        <v>0</v>
      </c>
      <c r="N52" s="19">
        <v>0</v>
      </c>
      <c r="O52" s="19">
        <v>0</v>
      </c>
      <c r="P52" s="2">
        <f t="shared" ref="P52:P55" si="2">IF(COUNT(L52:O52)=0,"",SUM(L52:O52))</f>
        <v>1700</v>
      </c>
    </row>
    <row r="53" spans="1:16" ht="15" x14ac:dyDescent="0.25">
      <c r="A53" s="8" t="s">
        <v>67</v>
      </c>
      <c r="B53" s="13">
        <v>1106453341</v>
      </c>
      <c r="C53" s="16" t="s">
        <v>80</v>
      </c>
      <c r="D53" s="16" t="s">
        <v>90</v>
      </c>
      <c r="E53" s="17">
        <v>46258</v>
      </c>
      <c r="F53" t="s">
        <v>102</v>
      </c>
      <c r="G53" s="15" t="s">
        <v>112</v>
      </c>
      <c r="H53" t="s">
        <v>141</v>
      </c>
      <c r="I53" s="27">
        <v>533147646</v>
      </c>
      <c r="J53" s="33" t="s">
        <v>200</v>
      </c>
      <c r="K53" s="1">
        <v>0</v>
      </c>
      <c r="L53" s="21">
        <v>3000</v>
      </c>
      <c r="M53" s="21">
        <v>1000</v>
      </c>
      <c r="N53" s="19">
        <v>0</v>
      </c>
      <c r="O53" s="19">
        <v>0</v>
      </c>
      <c r="P53" s="2">
        <f t="shared" si="2"/>
        <v>4000</v>
      </c>
    </row>
    <row r="54" spans="1:16" ht="15" x14ac:dyDescent="0.25">
      <c r="A54" s="8" t="s">
        <v>68</v>
      </c>
      <c r="B54" s="13">
        <v>1075555365</v>
      </c>
      <c r="C54" s="16" t="s">
        <v>80</v>
      </c>
      <c r="D54" s="16" t="s">
        <v>90</v>
      </c>
      <c r="E54" s="17">
        <v>45939</v>
      </c>
      <c r="F54" t="s">
        <v>103</v>
      </c>
      <c r="G54" s="15" t="s">
        <v>112</v>
      </c>
      <c r="H54" t="s">
        <v>141</v>
      </c>
      <c r="I54" s="27">
        <v>553342301</v>
      </c>
      <c r="J54" s="33" t="s">
        <v>201</v>
      </c>
      <c r="K54" s="1">
        <v>21</v>
      </c>
      <c r="L54" s="21">
        <v>3000</v>
      </c>
      <c r="M54" s="21">
        <v>1000</v>
      </c>
      <c r="N54" s="19">
        <v>0</v>
      </c>
      <c r="O54" s="19">
        <v>0</v>
      </c>
      <c r="P54" s="2">
        <f t="shared" si="2"/>
        <v>4000</v>
      </c>
    </row>
    <row r="55" spans="1:16" ht="15" x14ac:dyDescent="0.25">
      <c r="A55" s="8" t="s">
        <v>69</v>
      </c>
      <c r="B55" s="13">
        <v>1111746069</v>
      </c>
      <c r="C55" s="16" t="s">
        <v>81</v>
      </c>
      <c r="D55" s="16" t="s">
        <v>90</v>
      </c>
      <c r="E55" s="17">
        <v>45800</v>
      </c>
      <c r="F55" t="s">
        <v>103</v>
      </c>
      <c r="G55" s="16" t="s">
        <v>112</v>
      </c>
      <c r="H55" t="s">
        <v>144</v>
      </c>
      <c r="I55" s="27">
        <v>552175369</v>
      </c>
      <c r="J55" s="33" t="s">
        <v>202</v>
      </c>
      <c r="K55" s="1">
        <v>0</v>
      </c>
      <c r="L55" s="21">
        <v>4000</v>
      </c>
      <c r="M55" s="21">
        <v>0</v>
      </c>
      <c r="N55" s="19">
        <v>0</v>
      </c>
      <c r="O55" s="19">
        <v>0</v>
      </c>
      <c r="P55" s="2">
        <f t="shared" si="2"/>
        <v>4000</v>
      </c>
    </row>
  </sheetData>
  <mergeCells count="2">
    <mergeCell ref="A1:P1"/>
    <mergeCell ref="A2:K2"/>
  </mergeCells>
  <phoneticPr fontId="6" type="noConversion"/>
  <dataValidations count="1">
    <dataValidation type="list" allowBlank="1" showInputMessage="1" showErrorMessage="1" sqref="C4:C55">
      <formula1>"ذكر,أنثى"</formula1>
    </dataValidation>
  </dataValidations>
  <hyperlinks>
    <hyperlink ref="J5" r:id="rId1"/>
    <hyperlink ref="J4" r:id="rId2"/>
    <hyperlink ref="J6" r:id="rId3"/>
    <hyperlink ref="J7" r:id="rId4"/>
    <hyperlink ref="J8" r:id="rId5"/>
    <hyperlink ref="J9" r:id="rId6"/>
    <hyperlink ref="J10" r:id="rId7" display="mailto:Bamyr312@gmail.com"/>
    <hyperlink ref="J12" r:id="rId8"/>
    <hyperlink ref="J17" r:id="rId9" display="mailto:Jhaman@058%20gmail.com"/>
    <hyperlink ref="J19" r:id="rId10"/>
    <hyperlink ref="J23" r:id="rId11"/>
    <hyperlink ref="J25" r:id="rId12"/>
    <hyperlink ref="J30" r:id="rId13"/>
    <hyperlink ref="J29" r:id="rId14"/>
    <hyperlink ref="J28" r:id="rId15" display="mailto:Khaledfawy100@gmail.com"/>
    <hyperlink ref="J27" r:id="rId16"/>
    <hyperlink ref="J26" r:id="rId17"/>
    <hyperlink ref="J33" r:id="rId18"/>
    <hyperlink ref="J36" r:id="rId19"/>
    <hyperlink ref="J38" r:id="rId20"/>
    <hyperlink ref="J39" r:id="rId21"/>
    <hyperlink ref="J40" r:id="rId22"/>
    <hyperlink ref="J41" r:id="rId23"/>
    <hyperlink ref="J42" r:id="rId24"/>
    <hyperlink ref="J43" r:id="rId25"/>
    <hyperlink ref="J45" r:id="rId26"/>
    <hyperlink ref="J46" r:id="rId27"/>
    <hyperlink ref="J47" r:id="rId28"/>
    <hyperlink ref="J48" r:id="rId29"/>
    <hyperlink ref="J49" r:id="rId30"/>
    <hyperlink ref="J50" r:id="rId31"/>
    <hyperlink ref="J51" r:id="rId32"/>
    <hyperlink ref="J52" r:id="rId33"/>
    <hyperlink ref="J53" r:id="rId34"/>
    <hyperlink ref="J54" r:id="rId35"/>
    <hyperlink ref="J55" r:id="rId36"/>
  </hyperlinks>
  <pageMargins left="0.7" right="0.7" top="0.75" bottom="0.75" header="0.3" footer="0.3"/>
  <pageSetup paperSize="9" orientation="portrait" r:id="rId37"/>
  <tableParts count="1">
    <tablePart r:id="rId3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بيانات الموظفين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 CONSULTANT</dc:creator>
  <cp:lastModifiedBy>Hani Abdul Rahman</cp:lastModifiedBy>
  <cp:lastPrinted>2026-10-11T09:04:07Z</cp:lastPrinted>
  <dcterms:created xsi:type="dcterms:W3CDTF">2015-06-05T18:17:20Z</dcterms:created>
  <dcterms:modified xsi:type="dcterms:W3CDTF">2026-10-15T10:41:03Z</dcterms:modified>
</cp:coreProperties>
</file>