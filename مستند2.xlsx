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HAMA\Desktop\"/>
    </mc:Choice>
  </mc:AlternateContent>
  <bookViews>
    <workbookView xWindow="0" yWindow="0" windowWidth="28800" windowHeight="12345"/>
  </bookViews>
  <sheets>
    <sheet name="بيانات الموظفين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9" i="1" l="1"/>
  <c r="Q60" i="1"/>
  <c r="Q51" i="1" l="1"/>
  <c r="Q53" i="1"/>
  <c r="Q54" i="1"/>
  <c r="Q55" i="1"/>
  <c r="Q56" i="1"/>
  <c r="Q57" i="1"/>
  <c r="Q58" i="1"/>
  <c r="N2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2" i="1" l="1"/>
</calcChain>
</file>

<file path=xl/sharedStrings.xml><?xml version="1.0" encoding="utf-8"?>
<sst xmlns="http://schemas.openxmlformats.org/spreadsheetml/2006/main" count="426" uniqueCount="195">
  <si>
    <t>سجل بيانات الموظفين</t>
  </si>
  <si>
    <t>الرقم الوظيفي</t>
  </si>
  <si>
    <t>الاسم</t>
  </si>
  <si>
    <t>رقم الهوية</t>
  </si>
  <si>
    <t>الجنس</t>
  </si>
  <si>
    <t>الجنسية</t>
  </si>
  <si>
    <t>تاريخ التعيين</t>
  </si>
  <si>
    <t>رقم الجوال</t>
  </si>
  <si>
    <t>الإيميل</t>
  </si>
  <si>
    <t>رصيد الإجازات الحالي</t>
  </si>
  <si>
    <t>الراتب الأساسي</t>
  </si>
  <si>
    <t>بدل السكن</t>
  </si>
  <si>
    <t>بدل المواصلات</t>
  </si>
  <si>
    <t>بدلات أخرى</t>
  </si>
  <si>
    <t>الإجمالي</t>
  </si>
  <si>
    <t>رقم الآيبان</t>
  </si>
  <si>
    <t>عدد الموظفين</t>
  </si>
  <si>
    <t>إجمالي الرواتب</t>
  </si>
  <si>
    <t>المسمى الوظيفي</t>
  </si>
  <si>
    <t>الإدارة</t>
  </si>
  <si>
    <t>القسم</t>
  </si>
  <si>
    <t xml:space="preserve">                                                                                                                                                                                           أدخل بيانات الموظفين في الصفوف التالية؛ إجمالي الراتب يُحسب تلقائيًا من الأساسي والبدلات.</t>
  </si>
  <si>
    <t>شامة علي  محمد عسيري</t>
  </si>
  <si>
    <t>شاكر الله بوتاي</t>
  </si>
  <si>
    <t>صلاح محمد علي طاهر</t>
  </si>
  <si>
    <t>لوك بهادور رانا</t>
  </si>
  <si>
    <t>علي رياض محمد</t>
  </si>
  <si>
    <t>محمد أمين عبدالصادق</t>
  </si>
  <si>
    <t>شهيد منظور</t>
  </si>
  <si>
    <t>تيك بهادور كامي</t>
  </si>
  <si>
    <t>عرفان رضا عيشه علي</t>
  </si>
  <si>
    <t>مفرح يحي محمد معشي</t>
  </si>
  <si>
    <t>حسن محمود بدر</t>
  </si>
  <si>
    <t>فاطمة محمد علي المغيدي</t>
  </si>
  <si>
    <t>هاشم حسين أحمد العطاس</t>
  </si>
  <si>
    <t>اعمار شاهزاد خان</t>
  </si>
  <si>
    <t>عبدالرحمن خان شيرواني</t>
  </si>
  <si>
    <t>احمد عبدالرحمن علي يعن الله</t>
  </si>
  <si>
    <t>شمسر آلام دوست محمد</t>
  </si>
  <si>
    <t>راجيش شيخ</t>
  </si>
  <si>
    <t>عزت محمد سعد عزه</t>
  </si>
  <si>
    <t>عبدالرحمن جابر مفرح عسيري</t>
  </si>
  <si>
    <t>خالد احمد محمد راعي</t>
  </si>
  <si>
    <t>بورنا بهادور علي</t>
  </si>
  <si>
    <t>غوبال كومار مومهال</t>
  </si>
  <si>
    <t>السيد ابراهيم السيد مسعود</t>
  </si>
  <si>
    <t>طه عبده سيف خالد</t>
  </si>
  <si>
    <t>بيجيد شيتول مياه</t>
  </si>
  <si>
    <t>مانجيت كومار</t>
  </si>
  <si>
    <t xml:space="preserve">جهرل حق عباس </t>
  </si>
  <si>
    <t>كرينا بهادور دالا</t>
  </si>
  <si>
    <t>عبدالاحد</t>
  </si>
  <si>
    <t>مير اوسين</t>
  </si>
  <si>
    <t>ديف بهادور ثادا</t>
  </si>
  <si>
    <t>احمد محمد احمد النجار</t>
  </si>
  <si>
    <t>سامي عبدالله احمد باعمران</t>
  </si>
  <si>
    <t>راسل مياه نوبي</t>
  </si>
  <si>
    <t>اشيش ماندال</t>
  </si>
  <si>
    <t>منال سعيد حسن الاصلعي</t>
  </si>
  <si>
    <t>محمد شريف حسين</t>
  </si>
  <si>
    <t>مد شكيل</t>
  </si>
  <si>
    <t>محمد شاكر البهنسي النجار</t>
  </si>
  <si>
    <t>محمد حلمي محمد رحاب</t>
  </si>
  <si>
    <t>معدي موسى محمد عسيري</t>
  </si>
  <si>
    <t>محمد ناصر محمد آل مريع</t>
  </si>
  <si>
    <t>علي سعد حسين البشري</t>
  </si>
  <si>
    <t>زايد يحيى محمد معوض</t>
  </si>
  <si>
    <t>مؤمن جابر عطيت الله</t>
  </si>
  <si>
    <t>شافي الله عبد الخالق</t>
  </si>
  <si>
    <t>محمد صالح مهدي الدكاني</t>
  </si>
  <si>
    <t>عصام جابر النجيلي عبده</t>
  </si>
  <si>
    <t>عهود سعيد محمد</t>
  </si>
  <si>
    <t>مشعل عبدالرحمن علي يعن الله</t>
  </si>
  <si>
    <t>دلشاد أنصاري</t>
  </si>
  <si>
    <t>علي احمد علي عبداللطيف</t>
  </si>
  <si>
    <t>لينا عيد ناصر قبطي</t>
  </si>
  <si>
    <t>انثى</t>
  </si>
  <si>
    <t>ذكر</t>
  </si>
  <si>
    <t>أنثى</t>
  </si>
  <si>
    <t>سعودية</t>
  </si>
  <si>
    <t>باكستاني</t>
  </si>
  <si>
    <t>يمني</t>
  </si>
  <si>
    <t>نيبالي</t>
  </si>
  <si>
    <t>مصري</t>
  </si>
  <si>
    <t>هندي</t>
  </si>
  <si>
    <t>سعودي</t>
  </si>
  <si>
    <t>بنجلاديشي</t>
  </si>
  <si>
    <t>shamaalimohd@gmail.com</t>
  </si>
  <si>
    <t>shakirullahx99@gmail.com</t>
  </si>
  <si>
    <t>hyy93882@gmail.com</t>
  </si>
  <si>
    <t>Ar7546090@gmail.com</t>
  </si>
  <si>
    <t>ma3586482@gmail.com</t>
  </si>
  <si>
    <t>hajishahid556@gmail.com</t>
  </si>
  <si>
    <t>ttak11224@gmail.com</t>
  </si>
  <si>
    <t>lab40625@gmail.com</t>
  </si>
  <si>
    <t>abobadeer196@gmail.com</t>
  </si>
  <si>
    <t>jooary1410@icloud.com</t>
  </si>
  <si>
    <t>hashm053618@gmail.com</t>
  </si>
  <si>
    <t>amir2071985@gmail.com</t>
  </si>
  <si>
    <t>abdulrehmanmani223@gmail.com</t>
  </si>
  <si>
    <t>yanallahahmad@gmail.com</t>
  </si>
  <si>
    <t>shamsheralamshamsher744@gmail.com</t>
  </si>
  <si>
    <t>skr183660@gmail.com</t>
  </si>
  <si>
    <t>ezzatmohammad77@gmail.com</t>
  </si>
  <si>
    <t>jabr60601@gmail.com</t>
  </si>
  <si>
    <t>khalidraii66@gmail.com</t>
  </si>
  <si>
    <t>purnaalemagar87@gmail.com</t>
  </si>
  <si>
    <t>gobalk711@gmail.com</t>
  </si>
  <si>
    <t>alsydkshksh@gmail.com</t>
  </si>
  <si>
    <t>715taha715taha715@gmail.com</t>
  </si>
  <si>
    <t>bayezidbayezid999@gmail.com</t>
  </si>
  <si>
    <t>manjitkumarsada2000@gmail.com</t>
  </si>
  <si>
    <t>hoquesk868@gmail.com</t>
  </si>
  <si>
    <t>km7505079@gmail.com</t>
  </si>
  <si>
    <t>sakilahmed3050509@gmail.com</t>
  </si>
  <si>
    <t>mirhosen328@gmail.com</t>
  </si>
  <si>
    <t>dev841833@gmail.com</t>
  </si>
  <si>
    <t>ahmedelngar@gmail.com</t>
  </si>
  <si>
    <t>sami71242@gmail.com</t>
  </si>
  <si>
    <t>rasal9717@gmail.com</t>
  </si>
  <si>
    <t>aashismandal51@gmail.com</t>
  </si>
  <si>
    <t>haiati.sft123@gmail.com</t>
  </si>
  <si>
    <t>sujon159293@gmail.com</t>
  </si>
  <si>
    <t>mdshakilkhalifa95@gmail.com</t>
  </si>
  <si>
    <t>moshaker686@gmail.com</t>
  </si>
  <si>
    <t>helmymo505@gmail.com</t>
  </si>
  <si>
    <t>albishri900@gmail.com</t>
  </si>
  <si>
    <t>zayed29665@gmail.com</t>
  </si>
  <si>
    <t>nomen0777@gmail.com</t>
  </si>
  <si>
    <t>shafeeu770@gmail.com</t>
  </si>
  <si>
    <t>essamgaber44abdo@gmail.com</t>
  </si>
  <si>
    <t>ohood750750@gmail.com</t>
  </si>
  <si>
    <t>dilshad9369222419@gmail.com</t>
  </si>
  <si>
    <t>ali.mligy77@gmail.com</t>
  </si>
  <si>
    <t>l.alhmdan19@gmail.com</t>
  </si>
  <si>
    <t>موظفة موارد بشرية</t>
  </si>
  <si>
    <t>عامل تحميل وتنزيل</t>
  </si>
  <si>
    <t>خباز</t>
  </si>
  <si>
    <t>مدخل بيانات</t>
  </si>
  <si>
    <t>عامل تعبئة رفوف</t>
  </si>
  <si>
    <t>عامل انشاءات</t>
  </si>
  <si>
    <t>عامل حفظ فواكه وخضروات</t>
  </si>
  <si>
    <t>عامل كاونتر مأكولات ومشروبات</t>
  </si>
  <si>
    <t>صانع معجنات</t>
  </si>
  <si>
    <t>بائعة بسطة</t>
  </si>
  <si>
    <t>عامل معماري</t>
  </si>
  <si>
    <t>عامل تعبئة وتغليف</t>
  </si>
  <si>
    <t>مشرف</t>
  </si>
  <si>
    <t>حداد أبواب معدنية</t>
  </si>
  <si>
    <t>مهندس مدني</t>
  </si>
  <si>
    <t>بائع خضار</t>
  </si>
  <si>
    <t>مشرف مكتب</t>
  </si>
  <si>
    <t>حارس أمن</t>
  </si>
  <si>
    <t>عامل تنظيف مكاتب ومنشآت</t>
  </si>
  <si>
    <t>صانع حلويات</t>
  </si>
  <si>
    <t>عامل بناء</t>
  </si>
  <si>
    <t>كاتب موارد بشرية</t>
  </si>
  <si>
    <t>عامل مخزن</t>
  </si>
  <si>
    <t>بائع</t>
  </si>
  <si>
    <t>0.00</t>
  </si>
  <si>
    <t>المقاولات</t>
  </si>
  <si>
    <t>سيتي بارك</t>
  </si>
  <si>
    <t>المخبز</t>
  </si>
  <si>
    <t>حي الموظفين</t>
  </si>
  <si>
    <t>المستودع الفرعي</t>
  </si>
  <si>
    <t>الموارد البشرية</t>
  </si>
  <si>
    <t>الصالة</t>
  </si>
  <si>
    <t>الخضار</t>
  </si>
  <si>
    <t>البوفيه</t>
  </si>
  <si>
    <t>مجمع وسط البلد</t>
  </si>
  <si>
    <t>البسطة</t>
  </si>
  <si>
    <t>المفاولات</t>
  </si>
  <si>
    <t>الهندسية</t>
  </si>
  <si>
    <t>محطة المرح</t>
  </si>
  <si>
    <t>الخزنة</t>
  </si>
  <si>
    <t>النظافة</t>
  </si>
  <si>
    <t>الحبيل</t>
  </si>
  <si>
    <t>تقنية المعلومات</t>
  </si>
  <si>
    <t>التعقيب</t>
  </si>
  <si>
    <t>مد زكريا بي مد</t>
  </si>
  <si>
    <t>0</t>
  </si>
  <si>
    <t>0faruk2050@gmail.com</t>
  </si>
  <si>
    <t>محلل شبكات</t>
  </si>
  <si>
    <t>mohamedsalehmahdy@hotmail.com</t>
  </si>
  <si>
    <t>svrymdy470@gmail.com</t>
  </si>
  <si>
    <t>moraya999@icloud.com</t>
  </si>
  <si>
    <t>mshlb0441@gmail.com</t>
  </si>
  <si>
    <t>ريان يحي عبدالله</t>
  </si>
  <si>
    <t>بائع تذاكر</t>
  </si>
  <si>
    <t>عبير سعيد علي الأحمري</t>
  </si>
  <si>
    <t>بائعة تذاكر</t>
  </si>
  <si>
    <t>rayana019283@icloud.com</t>
  </si>
  <si>
    <t>r02ee@hotmail.com</t>
  </si>
  <si>
    <t>mha74756@gmail.com</t>
  </si>
  <si>
    <t>bintaher2@hotmail.com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</si>
</sst>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dd/mm/yyyy"/>
    <numFmt numFmtId="165" formatCode="0.0"/>
    <numFmt numFmtId="166" formatCode="#,##0.00;[Red]\(#,##0.00\);&quot;–&quot;"/>
    <numFmt numFmtId="167" formatCode="[$-409]d/mmm/yyyy"/>
    <numFmt numFmtId="168" formatCode="[$-14C09]d\ mmm\ yyyy"/>
  </numFmts>
  <fonts count="13" x14ac:knownFonts="1">
    <font>
      <sz val="11"/>
      <color theme="1"/>
      <name val="Calibri"/>
      <family val="2"/>
      <scheme val="minor"/>
    </font>
    <font>
      <sz val="11"/>
      <color rgb="FF33465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159A2"/>
      <name val="Calibri"/>
      <family val="2"/>
      <scheme val="minor"/>
    </font>
    <font>
      <b/>
      <sz val="11"/>
      <color rgb="FF185B43"/>
      <name val="Calibri"/>
      <family val="2"/>
      <scheme val="minor"/>
    </font>
    <font>
      <b/>
      <sz val="11"/>
      <color rgb="FF33465F"/>
      <name val="Calibri"/>
      <family val="2"/>
      <scheme val="minor"/>
    </font>
    <font>
      <sz val="8"/>
      <name val="Calibri"/>
      <family val="2"/>
      <scheme val="minor"/>
    </font>
    <font>
      <b/>
      <sz val="18"/>
      <color rgb="FFFFFFFF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2159A2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82C46"/>
        <bgColor indexed="64"/>
      </patternFill>
    </fill>
    <fill>
      <patternFill patternType="solid">
        <fgColor rgb="FFEFF4F9"/>
        <bgColor indexed="64"/>
      </patternFill>
    </fill>
    <fill>
      <patternFill patternType="solid">
        <fgColor rgb="FFE5F3ED"/>
        <bgColor indexed="64"/>
      </patternFill>
    </fill>
    <fill>
      <patternFill patternType="solid">
        <fgColor theme="0"/>
        <bgColor rgb="FF222A35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47">
    <xf numFmtId="0" fontId="0" fillId="0" borderId="0" xfId="0"/>
    <xf numFmtId="49" fontId="3" fillId="0" borderId="0" xfId="0" applyNumberFormat="1" applyFont="1"/>
    <xf numFmtId="0" fontId="2" fillId="0" borderId="0" xfId="0" applyFont="1" applyAlignment="1">
      <alignment vertical="center" wrapText="1"/>
    </xf>
    <xf numFmtId="0" fontId="1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166" fontId="5" fillId="3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vertical="center" wrapText="1"/>
    </xf>
    <xf numFmtId="49" fontId="8" fillId="5" borderId="0" xfId="0" applyNumberFormat="1" applyFont="1" applyFill="1" applyBorder="1" applyAlignment="1">
      <alignment horizontal="right" vertical="center" wrapText="1"/>
    </xf>
    <xf numFmtId="49" fontId="8" fillId="0" borderId="0" xfId="0" applyNumberFormat="1" applyFont="1" applyBorder="1"/>
    <xf numFmtId="167" fontId="8" fillId="0" borderId="0" xfId="0" applyNumberFormat="1" applyFont="1" applyBorder="1"/>
    <xf numFmtId="49" fontId="8" fillId="0" borderId="0" xfId="0" applyNumberFormat="1" applyFont="1" applyFill="1" applyBorder="1" applyAlignment="1"/>
    <xf numFmtId="0" fontId="0" fillId="0" borderId="0" xfId="0" applyBorder="1"/>
    <xf numFmtId="49" fontId="8" fillId="0" borderId="0" xfId="0" applyNumberFormat="1" applyFont="1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0" xfId="0" applyFont="1" applyBorder="1" applyAlignment="1">
      <alignment vertical="center" wrapText="1"/>
    </xf>
    <xf numFmtId="0" fontId="9" fillId="0" borderId="0" xfId="1" applyBorder="1" applyAlignment="1">
      <alignment horizontal="right"/>
    </xf>
    <xf numFmtId="49" fontId="8" fillId="5" borderId="0" xfId="0" applyNumberFormat="1" applyFont="1" applyFill="1" applyBorder="1" applyAlignment="1">
      <alignment horizontal="right" vertical="center" wrapText="1" readingOrder="1"/>
    </xf>
    <xf numFmtId="168" fontId="8" fillId="0" borderId="0" xfId="0" applyNumberFormat="1" applyFont="1" applyBorder="1"/>
    <xf numFmtId="164" fontId="3" fillId="0" borderId="0" xfId="0" applyNumberFormat="1" applyFont="1" applyBorder="1"/>
    <xf numFmtId="49" fontId="9" fillId="5" borderId="0" xfId="1" applyNumberFormat="1" applyFill="1" applyBorder="1" applyAlignment="1">
      <alignment horizontal="right" vertical="center" wrapText="1"/>
    </xf>
    <xf numFmtId="165" fontId="3" fillId="0" borderId="0" xfId="0" applyNumberFormat="1" applyFont="1" applyBorder="1"/>
    <xf numFmtId="2" fontId="8" fillId="0" borderId="0" xfId="0" applyNumberFormat="1" applyFont="1" applyBorder="1" applyAlignment="1">
      <alignment horizontal="right"/>
    </xf>
    <xf numFmtId="2" fontId="8" fillId="0" borderId="0" xfId="0" applyNumberFormat="1" applyFont="1" applyBorder="1"/>
    <xf numFmtId="166" fontId="4" fillId="4" borderId="0" xfId="0" applyNumberFormat="1" applyFont="1" applyFill="1" applyBorder="1"/>
    <xf numFmtId="49" fontId="3" fillId="0" borderId="0" xfId="0" applyNumberFormat="1" applyFont="1" applyBorder="1"/>
    <xf numFmtId="49" fontId="9" fillId="0" borderId="0" xfId="1" applyNumberFormat="1" applyBorder="1" applyAlignment="1">
      <alignment horizontal="right"/>
    </xf>
    <xf numFmtId="49" fontId="9" fillId="0" borderId="0" xfId="1" applyNumberFormat="1" applyFill="1" applyBorder="1" applyAlignment="1">
      <alignment horizontal="right"/>
    </xf>
    <xf numFmtId="2" fontId="8" fillId="0" borderId="0" xfId="0" applyNumberFormat="1" applyFont="1" applyFill="1" applyBorder="1" applyAlignment="1"/>
    <xf numFmtId="2" fontId="8" fillId="0" borderId="0" xfId="0" applyNumberFormat="1" applyFont="1" applyFill="1" applyBorder="1" applyAlignment="1">
      <alignment horizontal="right"/>
    </xf>
    <xf numFmtId="167" fontId="9" fillId="0" borderId="0" xfId="1" applyNumberFormat="1" applyBorder="1" applyAlignment="1">
      <alignment horizontal="right"/>
    </xf>
    <xf numFmtId="168" fontId="8" fillId="0" borderId="0" xfId="0" applyNumberFormat="1" applyFont="1" applyBorder="1" applyAlignment="1">
      <alignment horizontal="right"/>
    </xf>
    <xf numFmtId="0" fontId="8" fillId="0" borderId="0" xfId="0" applyNumberFormat="1" applyFont="1" applyBorder="1" applyAlignment="1">
      <alignment horizontal="right"/>
    </xf>
    <xf numFmtId="15" fontId="0" fillId="0" borderId="0" xfId="0" applyNumberFormat="1" applyBorder="1"/>
    <xf numFmtId="0" fontId="0" fillId="0" borderId="0" xfId="0" applyNumberFormat="1" applyBorder="1" applyAlignment="1">
      <alignment horizontal="right"/>
    </xf>
    <xf numFmtId="2" fontId="10" fillId="0" borderId="0" xfId="0" applyNumberFormat="1" applyFont="1" applyBorder="1"/>
    <xf numFmtId="2" fontId="10" fillId="0" borderId="0" xfId="0" applyNumberFormat="1" applyFont="1" applyBorder="1" applyAlignment="1">
      <alignment horizontal="right"/>
    </xf>
    <xf numFmtId="49" fontId="11" fillId="0" borderId="0" xfId="0" applyNumberFormat="1" applyFont="1" applyBorder="1"/>
    <xf numFmtId="0" fontId="12" fillId="0" borderId="0" xfId="0" applyFont="1" applyBorder="1" applyAlignment="1">
      <alignment vertical="center" wrapText="1"/>
    </xf>
    <xf numFmtId="168" fontId="11" fillId="0" borderId="0" xfId="0" applyNumberFormat="1" applyFont="1" applyBorder="1"/>
    <xf numFmtId="2" fontId="11" fillId="0" borderId="0" xfId="0" applyNumberFormat="1" applyFont="1" applyBorder="1"/>
    <xf numFmtId="0" fontId="11" fillId="0" borderId="0" xfId="0" applyNumberFormat="1" applyFont="1" applyBorder="1" applyAlignment="1">
      <alignment horizontal="right"/>
    </xf>
    <xf numFmtId="166" fontId="4" fillId="6" borderId="0" xfId="0" applyNumberFormat="1" applyFont="1" applyFill="1" applyBorder="1"/>
    <xf numFmtId="0" fontId="8" fillId="0" borderId="0" xfId="0" applyNumberFormat="1" applyFont="1" applyFill="1" applyBorder="1" applyAlignment="1">
      <alignment horizontal="right"/>
    </xf>
    <xf numFmtId="0" fontId="8" fillId="5" borderId="0" xfId="0" applyNumberFormat="1" applyFont="1" applyFill="1" applyBorder="1" applyAlignment="1">
      <alignment vertical="center" wrapText="1"/>
    </xf>
    <xf numFmtId="0" fontId="7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5" fontId="0" fillId="0" borderId="0" xfId="0" applyNumberFormat="1" applyFont="1" applyBorder="1"/>
  </cellXfs>
  <cellStyles count="2">
    <cellStyle name="Hyperlink" xfId="1" builtinId="8"/>
    <cellStyle name="Normal" xfId="0" builtinId="0"/>
  </cellStyles>
  <dxfs count="19">
    <dxf>
      <font>
        <color rgb="FF2159A2"/>
      </font>
      <numFmt numFmtId="0" formatCode="General"/>
      <alignment horizontal="right" vertical="bottom" textRotation="0" wrapText="0" indent="0" justifyLastLine="0" shrinkToFit="0" readingOrder="0"/>
    </dxf>
    <dxf>
      <font>
        <color rgb="FF2159A2"/>
      </font>
      <numFmt numFmtId="30" formatCode="@"/>
    </dxf>
    <dxf>
      <font>
        <b/>
        <color rgb="FF185B43"/>
      </font>
      <numFmt numFmtId="166" formatCode="#,##0.00;[Red]\(#,##0.00\);&quot;–&quot;"/>
      <fill>
        <patternFill patternType="solid">
          <fgColor indexed="64"/>
          <bgColor rgb="FFE5F3ED"/>
        </patternFill>
      </fill>
    </dxf>
    <dxf>
      <font>
        <color rgb="FF2159A2"/>
      </font>
      <numFmt numFmtId="2" formatCode="0.00"/>
      <alignment horizontal="right" vertical="bottom" textRotation="0" wrapText="0" indent="0" justifyLastLine="0" shrinkToFit="0" readingOrder="0"/>
    </dxf>
    <dxf>
      <font>
        <color rgb="FF2159A2"/>
      </font>
      <numFmt numFmtId="2" formatCode="0.00"/>
    </dxf>
    <dxf>
      <font>
        <color rgb="FF2159A2"/>
      </font>
      <numFmt numFmtId="2" formatCode="0.00"/>
    </dxf>
    <dxf>
      <font>
        <color rgb="FF2159A2"/>
      </font>
      <numFmt numFmtId="30" formatCode="@"/>
      <alignment horizontal="right" vertical="bottom" textRotation="0" wrapText="0" indent="0" justifyLastLine="0" shrinkToFit="0" readingOrder="0"/>
    </dxf>
    <dxf>
      <font>
        <color rgb="FF2159A2"/>
      </font>
      <numFmt numFmtId="30" formatCode="@"/>
      <alignment horizontal="right" textRotation="0" indent="0" justifyLastLine="0" shrinkToFit="0" readingOrder="0"/>
    </dxf>
    <dxf>
      <font>
        <color rgb="FF2159A2"/>
      </font>
      <numFmt numFmtId="30" formatCode="@"/>
      <alignment horizontal="righ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159A2"/>
        <name val="Calibri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159A2"/>
        <name val="Calibri"/>
        <scheme val="minor"/>
      </font>
      <numFmt numFmtId="164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159A2"/>
        <name val="Calibri"/>
        <scheme val="minor"/>
      </font>
      <numFmt numFmtId="164" formatCode="dd/mm/yyyy"/>
    </dxf>
    <dxf>
      <font>
        <color rgb="FF2159A2"/>
      </font>
      <numFmt numFmtId="168" formatCode="[$-14C09]d\ mmm\ yyyy"/>
    </dxf>
    <dxf>
      <font>
        <color rgb="FF2159A2"/>
      </font>
      <numFmt numFmtId="30" formatCode="@"/>
    </dxf>
    <dxf>
      <font>
        <color rgb="FF2159A2"/>
      </font>
      <numFmt numFmtId="30" formatCode="@"/>
    </dxf>
    <dxf>
      <font>
        <color rgb="FF2159A2"/>
      </font>
      <numFmt numFmtId="30" formatCode="@"/>
      <alignment horizontal="right" textRotation="0" indent="0" justifyLastLine="0" shrinkToFit="0" readingOrder="0"/>
    </dxf>
    <dxf>
      <font>
        <b val="0"/>
        <color rgb="FF2159A2"/>
      </font>
    </dxf>
    <dxf>
      <font>
        <color rgb="FF2159A2"/>
      </font>
      <numFmt numFmtId="30" formatCode="@"/>
    </dxf>
    <dxf>
      <font>
        <b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id="1" name="EmployeeRoster" displayName="EmployeeRoster" ref="A3:R60" totalsRowShown="0" headerRowDxfId="18">
  <autoFilter ref="A3:R60"/>
  <tableColumns count="18">
    <tableColumn id="1" name="الرقم الوظيفي" dataDxfId="17"/>
    <tableColumn id="2" name="الاسم" dataDxfId="16"/>
    <tableColumn id="3" name="رقم الهوية" dataDxfId="15"/>
    <tableColumn id="4" name="الجنس" dataDxfId="14"/>
    <tableColumn id="5" name="الجنسية" dataDxfId="13"/>
    <tableColumn id="6" name="تاريخ التعيين" dataDxfId="12"/>
    <tableColumn id="17" name="الإدارة" dataDxfId="11"/>
    <tableColumn id="18" name="القسم" dataDxfId="10"/>
    <tableColumn id="16" name="المسمى الوظيفي" dataDxfId="9"/>
    <tableColumn id="7" name="رقم الجوال" dataDxfId="8"/>
    <tableColumn id="8" name="الإيميل" dataDxfId="7" dataCellStyle="Hyperlink"/>
    <tableColumn id="9" name="رصيد الإجازات الحالي" dataDxfId="0"/>
    <tableColumn id="10" name="الراتب الأساسي" dataDxfId="6"/>
    <tableColumn id="11" name="بدل السكن" dataDxfId="5"/>
    <tableColumn id="12" name="بدل المواصلات" dataDxfId="4"/>
    <tableColumn id="13" name="بدلات أخرى" dataDxfId="3"/>
    <tableColumn id="14" name="الإجمالي" dataDxfId="2">
      <calculatedColumnFormula>IF(COUNT(M4:P4)=0,"",SUM(M4:P4))</calculatedColumnFormula>
    </tableColumn>
    <tableColumn id="15" name="رقم الآيبان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47F7779-3308-46A5-9E82-404C53F71AB1}">
  <we:reference id="wa200010215" version="2.0.0.1" store="en-US" storeType="OMEX"/>
  <we:alternateReferences>
    <we:reference id="wa200010215" version="2.0.0.1" store="" storeType="OMEX"/>
  </we:alternateReferences>
  <we:properties>
    <we:property name="bps.codex_control.document_id" value="&quot;01e0cb78-c120-43d1-b639-34092ca46a7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amir2071985@gmail.com" TargetMode="External"/><Relationship Id="rId18" Type="http://schemas.openxmlformats.org/officeDocument/2006/relationships/hyperlink" Target="mailto:jabr60601@gmail.com" TargetMode="External"/><Relationship Id="rId26" Type="http://schemas.openxmlformats.org/officeDocument/2006/relationships/hyperlink" Target="mailto:hoquesk868@gmail.com" TargetMode="External"/><Relationship Id="rId39" Type="http://schemas.openxmlformats.org/officeDocument/2006/relationships/hyperlink" Target="mailto:helmymo505@gmail.com" TargetMode="External"/><Relationship Id="rId21" Type="http://schemas.openxmlformats.org/officeDocument/2006/relationships/hyperlink" Target="mailto:gobalk711@gmail.com" TargetMode="External"/><Relationship Id="rId34" Type="http://schemas.openxmlformats.org/officeDocument/2006/relationships/hyperlink" Target="mailto:aashismandal51@gmail.com" TargetMode="External"/><Relationship Id="rId42" Type="http://schemas.openxmlformats.org/officeDocument/2006/relationships/hyperlink" Target="mailto:ali.mligy77@gmail.com" TargetMode="External"/><Relationship Id="rId47" Type="http://schemas.openxmlformats.org/officeDocument/2006/relationships/hyperlink" Target="mailto:0faruk2050@gmail.com" TargetMode="External"/><Relationship Id="rId50" Type="http://schemas.openxmlformats.org/officeDocument/2006/relationships/hyperlink" Target="mailto:moraya999@icloud.com" TargetMode="External"/><Relationship Id="rId55" Type="http://schemas.openxmlformats.org/officeDocument/2006/relationships/table" Target="../tables/table1.xml"/><Relationship Id="rId7" Type="http://schemas.openxmlformats.org/officeDocument/2006/relationships/hyperlink" Target="mailto:hajishahid556@gmail.com" TargetMode="External"/><Relationship Id="rId2" Type="http://schemas.openxmlformats.org/officeDocument/2006/relationships/hyperlink" Target="mailto:shakirullahx99@gmail.com" TargetMode="External"/><Relationship Id="rId16" Type="http://schemas.openxmlformats.org/officeDocument/2006/relationships/hyperlink" Target="mailto:skr183660@gmail.com" TargetMode="External"/><Relationship Id="rId29" Type="http://schemas.openxmlformats.org/officeDocument/2006/relationships/hyperlink" Target="mailto:mirhosen328@gmail.com" TargetMode="External"/><Relationship Id="rId11" Type="http://schemas.openxmlformats.org/officeDocument/2006/relationships/hyperlink" Target="mailto:jooary1410@icloud.com" TargetMode="External"/><Relationship Id="rId24" Type="http://schemas.openxmlformats.org/officeDocument/2006/relationships/hyperlink" Target="mailto:bayezidbayezid999@gmail.com" TargetMode="External"/><Relationship Id="rId32" Type="http://schemas.openxmlformats.org/officeDocument/2006/relationships/hyperlink" Target="mailto:sami71242@gmail.com" TargetMode="External"/><Relationship Id="rId37" Type="http://schemas.openxmlformats.org/officeDocument/2006/relationships/hyperlink" Target="mailto:mdshakilkhalifa95@gmail.com" TargetMode="External"/><Relationship Id="rId40" Type="http://schemas.openxmlformats.org/officeDocument/2006/relationships/hyperlink" Target="mailto:zayed29665@gmail.com" TargetMode="External"/><Relationship Id="rId45" Type="http://schemas.openxmlformats.org/officeDocument/2006/relationships/hyperlink" Target="mailto:yanallahahmad@gmail.com" TargetMode="External"/><Relationship Id="rId53" Type="http://schemas.openxmlformats.org/officeDocument/2006/relationships/hyperlink" Target="mailto:r02ee@hotmail.com" TargetMode="External"/><Relationship Id="rId5" Type="http://schemas.openxmlformats.org/officeDocument/2006/relationships/hyperlink" Target="mailto:Ar7546090@gmail.com" TargetMode="External"/><Relationship Id="rId10" Type="http://schemas.openxmlformats.org/officeDocument/2006/relationships/hyperlink" Target="mailto:abobadeer196@gmail.com" TargetMode="External"/><Relationship Id="rId19" Type="http://schemas.openxmlformats.org/officeDocument/2006/relationships/hyperlink" Target="mailto:khalidraii66@gmail.com" TargetMode="External"/><Relationship Id="rId31" Type="http://schemas.openxmlformats.org/officeDocument/2006/relationships/hyperlink" Target="mailto:ahmedelngar@gmail.com" TargetMode="External"/><Relationship Id="rId44" Type="http://schemas.openxmlformats.org/officeDocument/2006/relationships/hyperlink" Target="mailto:dilshad9369222419@gmail.com" TargetMode="External"/><Relationship Id="rId52" Type="http://schemas.openxmlformats.org/officeDocument/2006/relationships/hyperlink" Target="mailto:rayana019283@icloud.com" TargetMode="External"/><Relationship Id="rId4" Type="http://schemas.openxmlformats.org/officeDocument/2006/relationships/hyperlink" Target="mailto:hyy93882@gmail.com" TargetMode="External"/><Relationship Id="rId9" Type="http://schemas.openxmlformats.org/officeDocument/2006/relationships/hyperlink" Target="mailto:lab40625@gmail.com" TargetMode="External"/><Relationship Id="rId14" Type="http://schemas.openxmlformats.org/officeDocument/2006/relationships/hyperlink" Target="mailto:abdulrehmanmani223@gmail.com" TargetMode="External"/><Relationship Id="rId22" Type="http://schemas.openxmlformats.org/officeDocument/2006/relationships/hyperlink" Target="mailto:alsydkshksh@gmail.com" TargetMode="External"/><Relationship Id="rId27" Type="http://schemas.openxmlformats.org/officeDocument/2006/relationships/hyperlink" Target="mailto:km7505079@gmail.com" TargetMode="External"/><Relationship Id="rId30" Type="http://schemas.openxmlformats.org/officeDocument/2006/relationships/hyperlink" Target="mailto:dev841833@gmail.com" TargetMode="External"/><Relationship Id="rId35" Type="http://schemas.openxmlformats.org/officeDocument/2006/relationships/hyperlink" Target="mailto:haiati.sft123@gmail.com" TargetMode="External"/><Relationship Id="rId43" Type="http://schemas.openxmlformats.org/officeDocument/2006/relationships/hyperlink" Target="mailto:l.alhmdan19@gmail.com" TargetMode="External"/><Relationship Id="rId48" Type="http://schemas.openxmlformats.org/officeDocument/2006/relationships/hyperlink" Target="mailto:mohamedsalehmahdy@hotmail.com" TargetMode="External"/><Relationship Id="rId8" Type="http://schemas.openxmlformats.org/officeDocument/2006/relationships/hyperlink" Target="mailto:ttak11224@gmail.com" TargetMode="External"/><Relationship Id="rId51" Type="http://schemas.openxmlformats.org/officeDocument/2006/relationships/hyperlink" Target="mailto:mshlb0441@gmail.com" TargetMode="External"/><Relationship Id="rId3" Type="http://schemas.openxmlformats.org/officeDocument/2006/relationships/hyperlink" Target="mailto:bintaher2@hotmail.com" TargetMode="External"/><Relationship Id="rId12" Type="http://schemas.openxmlformats.org/officeDocument/2006/relationships/hyperlink" Target="mailto:hashm053618@gmail.com" TargetMode="External"/><Relationship Id="rId17" Type="http://schemas.openxmlformats.org/officeDocument/2006/relationships/hyperlink" Target="mailto:ezzatmohammad77@gmail.com" TargetMode="External"/><Relationship Id="rId25" Type="http://schemas.openxmlformats.org/officeDocument/2006/relationships/hyperlink" Target="mailto:manjitkumarsada2000@gmail.com" TargetMode="External"/><Relationship Id="rId33" Type="http://schemas.openxmlformats.org/officeDocument/2006/relationships/hyperlink" Target="mailto:rasal9717@gmail.com" TargetMode="External"/><Relationship Id="rId38" Type="http://schemas.openxmlformats.org/officeDocument/2006/relationships/hyperlink" Target="mailto:moshaker686@gmail.com" TargetMode="External"/><Relationship Id="rId46" Type="http://schemas.openxmlformats.org/officeDocument/2006/relationships/hyperlink" Target="mailto:albishri900@gmail.com" TargetMode="External"/><Relationship Id="rId20" Type="http://schemas.openxmlformats.org/officeDocument/2006/relationships/hyperlink" Target="mailto:purnaalemagar87@gmail.com" TargetMode="External"/><Relationship Id="rId41" Type="http://schemas.openxmlformats.org/officeDocument/2006/relationships/hyperlink" Target="mailto:essamgaber44abdo@gmail.com" TargetMode="External"/><Relationship Id="rId54" Type="http://schemas.openxmlformats.org/officeDocument/2006/relationships/printerSettings" Target="../printerSettings/printerSettings1.bin"/><Relationship Id="rId1" Type="http://schemas.openxmlformats.org/officeDocument/2006/relationships/hyperlink" Target="mailto:shamaalimohd@gmail.com" TargetMode="External"/><Relationship Id="rId6" Type="http://schemas.openxmlformats.org/officeDocument/2006/relationships/hyperlink" Target="mailto:ma3586482@gmail.com" TargetMode="External"/><Relationship Id="rId15" Type="http://schemas.openxmlformats.org/officeDocument/2006/relationships/hyperlink" Target="mailto:shamsheralamshamsher744@gmail.com" TargetMode="External"/><Relationship Id="rId23" Type="http://schemas.openxmlformats.org/officeDocument/2006/relationships/hyperlink" Target="mailto:715taha715taha715@gmail.com" TargetMode="External"/><Relationship Id="rId28" Type="http://schemas.openxmlformats.org/officeDocument/2006/relationships/hyperlink" Target="mailto:sakilahmed3050509@gmail.com" TargetMode="External"/><Relationship Id="rId36" Type="http://schemas.openxmlformats.org/officeDocument/2006/relationships/hyperlink" Target="mailto:sujon159293@gmail.com" TargetMode="External"/><Relationship Id="rId49" Type="http://schemas.openxmlformats.org/officeDocument/2006/relationships/hyperlink" Target="mailto:svrymdy47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61"/>
  <sheetViews>
    <sheetView rightToLeft="1" tabSelected="1" topLeftCell="C1" workbookViewId="0">
      <pane ySplit="3" topLeftCell="A13" activePane="bottomLeft" state="frozen"/>
      <selection pane="bottomLeft" activeCell="L23" sqref="L23"/>
    </sheetView>
  </sheetViews>
  <sheetFormatPr defaultRowHeight="15" x14ac:dyDescent="0.25"/>
  <cols>
    <col min="1" max="1" width="19.140625" hidden="1" customWidth="1"/>
    <col min="2" max="2" width="32.7109375" style="11" customWidth="1"/>
    <col min="3" max="3" width="18.140625" customWidth="1"/>
    <col min="4" max="4" width="14.5703125" customWidth="1"/>
    <col min="5" max="5" width="19.140625" customWidth="1"/>
    <col min="6" max="6" width="20.85546875" customWidth="1"/>
    <col min="7" max="8" width="27.28515625" customWidth="1"/>
    <col min="9" max="9" width="28.140625" customWidth="1"/>
    <col min="10" max="10" width="24.5703125" customWidth="1"/>
    <col min="11" max="11" width="38.140625" customWidth="1"/>
    <col min="12" max="12" width="27.28515625" customWidth="1"/>
    <col min="13" max="16" width="21.85546875" customWidth="1"/>
    <col min="17" max="17" width="24.5703125" customWidth="1"/>
    <col min="18" max="18" width="41.85546875" hidden="1" customWidth="1"/>
  </cols>
  <sheetData>
    <row r="1" spans="1:18" ht="38.1" customHeight="1" x14ac:dyDescent="0.25">
      <c r="A1" s="44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</row>
    <row r="2" spans="1:18" ht="27.95" customHeight="1" x14ac:dyDescent="0.25">
      <c r="A2" s="45" t="s">
        <v>21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" t="s">
        <v>16</v>
      </c>
      <c r="N2" s="4">
        <f>COUNTA(EmployeeRoster[الرقم الوظيفي])</f>
        <v>0</v>
      </c>
      <c r="O2" s="3"/>
      <c r="P2" s="4" t="s">
        <v>17</v>
      </c>
      <c r="Q2" s="5">
        <f>SUM(EmployeeRoster[الإجمالي])</f>
        <v>151300</v>
      </c>
      <c r="R2" s="3"/>
    </row>
    <row r="3" spans="1:18" ht="42" customHeight="1" x14ac:dyDescent="0.25">
      <c r="A3" s="2" t="s">
        <v>1</v>
      </c>
      <c r="B3" s="6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19</v>
      </c>
      <c r="H3" s="2" t="s">
        <v>20</v>
      </c>
      <c r="I3" s="2" t="s">
        <v>18</v>
      </c>
      <c r="J3" s="2" t="s">
        <v>7</v>
      </c>
      <c r="K3" s="2" t="s">
        <v>8</v>
      </c>
      <c r="L3" s="2" t="s">
        <v>9</v>
      </c>
      <c r="M3" s="2" t="s">
        <v>10</v>
      </c>
      <c r="N3" s="2" t="s">
        <v>11</v>
      </c>
      <c r="O3" s="2" t="s">
        <v>12</v>
      </c>
      <c r="P3" s="2" t="s">
        <v>13</v>
      </c>
      <c r="Q3" s="2" t="s">
        <v>14</v>
      </c>
      <c r="R3" s="2" t="s">
        <v>15</v>
      </c>
    </row>
    <row r="4" spans="1:18" ht="24" customHeight="1" x14ac:dyDescent="0.25">
      <c r="A4" s="1"/>
      <c r="B4" s="14" t="s">
        <v>22</v>
      </c>
      <c r="C4" s="43">
        <v>1112576044</v>
      </c>
      <c r="D4" s="16" t="s">
        <v>76</v>
      </c>
      <c r="E4" s="16" t="s">
        <v>79</v>
      </c>
      <c r="F4" s="17">
        <v>45049</v>
      </c>
      <c r="G4" s="18" t="s">
        <v>19</v>
      </c>
      <c r="H4" s="18" t="s">
        <v>165</v>
      </c>
      <c r="I4" s="7" t="s">
        <v>135</v>
      </c>
      <c r="J4" s="43">
        <v>501607172</v>
      </c>
      <c r="K4" s="19" t="s">
        <v>87</v>
      </c>
      <c r="L4" s="31">
        <v>20</v>
      </c>
      <c r="M4" s="46">
        <v>4000</v>
      </c>
      <c r="N4" s="22">
        <v>0</v>
      </c>
      <c r="O4" s="22">
        <v>0</v>
      </c>
      <c r="P4" s="21">
        <v>0</v>
      </c>
      <c r="Q4" s="23">
        <f t="shared" ref="Q4:Q33" si="0">IF(COUNT(M4:P4)=0,"",SUM(M4:P4))</f>
        <v>4000</v>
      </c>
      <c r="R4" s="24"/>
    </row>
    <row r="5" spans="1:18" ht="24" customHeight="1" x14ac:dyDescent="0.25">
      <c r="A5" s="1"/>
      <c r="B5" s="14" t="s">
        <v>23</v>
      </c>
      <c r="C5" s="31">
        <v>2538280393</v>
      </c>
      <c r="D5" s="8" t="s">
        <v>77</v>
      </c>
      <c r="E5" s="8" t="s">
        <v>80</v>
      </c>
      <c r="F5" s="17">
        <v>44545</v>
      </c>
      <c r="G5" s="18" t="s">
        <v>160</v>
      </c>
      <c r="H5" s="18" t="s">
        <v>160</v>
      </c>
      <c r="I5" s="8" t="s">
        <v>136</v>
      </c>
      <c r="J5" s="31">
        <v>506329726</v>
      </c>
      <c r="K5" s="25" t="s">
        <v>88</v>
      </c>
      <c r="L5" s="31">
        <v>42</v>
      </c>
      <c r="M5" s="21">
        <v>1700</v>
      </c>
      <c r="N5" s="22">
        <v>0</v>
      </c>
      <c r="O5" s="22">
        <v>0</v>
      </c>
      <c r="P5" s="21">
        <v>0</v>
      </c>
      <c r="Q5" s="23">
        <f t="shared" si="0"/>
        <v>1700</v>
      </c>
      <c r="R5" s="24"/>
    </row>
    <row r="6" spans="1:18" ht="24" customHeight="1" x14ac:dyDescent="0.25">
      <c r="A6" s="1"/>
      <c r="B6" s="14" t="s">
        <v>24</v>
      </c>
      <c r="C6" s="31">
        <v>2306940632</v>
      </c>
      <c r="D6" s="8" t="s">
        <v>77</v>
      </c>
      <c r="E6" s="8" t="s">
        <v>81</v>
      </c>
      <c r="F6" s="17">
        <v>40726</v>
      </c>
      <c r="G6" s="18" t="s">
        <v>19</v>
      </c>
      <c r="H6" s="18" t="s">
        <v>178</v>
      </c>
      <c r="I6" s="8" t="s">
        <v>139</v>
      </c>
      <c r="J6" s="31">
        <v>556325792</v>
      </c>
      <c r="K6" s="25" t="s">
        <v>194</v>
      </c>
      <c r="L6" s="31">
        <v>0</v>
      </c>
      <c r="M6" s="21">
        <v>2400</v>
      </c>
      <c r="N6" s="22">
        <v>400</v>
      </c>
      <c r="O6" s="22">
        <v>0</v>
      </c>
      <c r="P6" s="21">
        <v>400</v>
      </c>
      <c r="Q6" s="23">
        <f t="shared" si="0"/>
        <v>3200</v>
      </c>
      <c r="R6" s="24"/>
    </row>
    <row r="7" spans="1:18" ht="24" customHeight="1" x14ac:dyDescent="0.25">
      <c r="A7" s="1"/>
      <c r="B7" s="14" t="s">
        <v>25</v>
      </c>
      <c r="C7" s="31">
        <v>2325243489</v>
      </c>
      <c r="D7" s="8" t="s">
        <v>77</v>
      </c>
      <c r="E7" s="8" t="s">
        <v>82</v>
      </c>
      <c r="F7" s="17">
        <v>45083</v>
      </c>
      <c r="G7" s="18" t="s">
        <v>161</v>
      </c>
      <c r="H7" s="18" t="s">
        <v>162</v>
      </c>
      <c r="I7" s="8" t="s">
        <v>137</v>
      </c>
      <c r="J7" s="31">
        <v>598024219</v>
      </c>
      <c r="K7" s="25" t="s">
        <v>89</v>
      </c>
      <c r="L7" s="31">
        <v>21</v>
      </c>
      <c r="M7" s="21">
        <v>1500</v>
      </c>
      <c r="N7" s="22">
        <v>0</v>
      </c>
      <c r="O7" s="22">
        <v>0</v>
      </c>
      <c r="P7" s="21">
        <v>300</v>
      </c>
      <c r="Q7" s="23">
        <f t="shared" si="0"/>
        <v>1800</v>
      </c>
      <c r="R7" s="24"/>
    </row>
    <row r="8" spans="1:18" ht="24" customHeight="1" x14ac:dyDescent="0.25">
      <c r="A8" s="1"/>
      <c r="B8" s="14" t="s">
        <v>26</v>
      </c>
      <c r="C8" s="31">
        <v>2315919775</v>
      </c>
      <c r="D8" s="8" t="s">
        <v>77</v>
      </c>
      <c r="E8" s="8" t="s">
        <v>80</v>
      </c>
      <c r="F8" s="17">
        <v>40874</v>
      </c>
      <c r="G8" s="18" t="s">
        <v>163</v>
      </c>
      <c r="H8" s="18" t="s">
        <v>164</v>
      </c>
      <c r="I8" s="8" t="s">
        <v>138</v>
      </c>
      <c r="J8" s="31">
        <v>501394983</v>
      </c>
      <c r="K8" s="25" t="s">
        <v>90</v>
      </c>
      <c r="L8" s="31">
        <v>0</v>
      </c>
      <c r="M8" s="21">
        <v>1500</v>
      </c>
      <c r="N8" s="22">
        <v>0</v>
      </c>
      <c r="O8" s="22">
        <v>0</v>
      </c>
      <c r="P8" s="21">
        <v>500</v>
      </c>
      <c r="Q8" s="23">
        <f t="shared" si="0"/>
        <v>2000</v>
      </c>
      <c r="R8" s="24"/>
    </row>
    <row r="9" spans="1:18" ht="24" customHeight="1" x14ac:dyDescent="0.25">
      <c r="A9" s="1"/>
      <c r="B9" s="14" t="s">
        <v>27</v>
      </c>
      <c r="C9" s="31">
        <v>2315918215</v>
      </c>
      <c r="D9" s="8" t="s">
        <v>77</v>
      </c>
      <c r="E9" s="8" t="s">
        <v>83</v>
      </c>
      <c r="F9" s="17">
        <v>40874</v>
      </c>
      <c r="G9" s="18" t="s">
        <v>161</v>
      </c>
      <c r="H9" s="18" t="s">
        <v>166</v>
      </c>
      <c r="I9" s="8" t="s">
        <v>139</v>
      </c>
      <c r="J9" s="31">
        <v>507965802</v>
      </c>
      <c r="K9" s="25" t="s">
        <v>91</v>
      </c>
      <c r="L9" s="31">
        <v>0</v>
      </c>
      <c r="M9" s="21">
        <v>2100</v>
      </c>
      <c r="N9" s="22">
        <v>0</v>
      </c>
      <c r="O9" s="22">
        <v>0</v>
      </c>
      <c r="P9" s="21">
        <v>400</v>
      </c>
      <c r="Q9" s="23">
        <f t="shared" si="0"/>
        <v>2500</v>
      </c>
      <c r="R9" s="24"/>
    </row>
    <row r="10" spans="1:18" ht="24" customHeight="1" x14ac:dyDescent="0.25">
      <c r="A10" s="1"/>
      <c r="B10" s="14" t="s">
        <v>28</v>
      </c>
      <c r="C10" s="31">
        <v>2314527587</v>
      </c>
      <c r="D10" s="8" t="s">
        <v>77</v>
      </c>
      <c r="E10" s="8" t="s">
        <v>80</v>
      </c>
      <c r="F10" s="17">
        <v>40882</v>
      </c>
      <c r="G10" s="18" t="s">
        <v>160</v>
      </c>
      <c r="H10" s="18" t="s">
        <v>160</v>
      </c>
      <c r="I10" s="8" t="s">
        <v>140</v>
      </c>
      <c r="J10" s="31">
        <v>507258267</v>
      </c>
      <c r="K10" s="25" t="s">
        <v>92</v>
      </c>
      <c r="L10" s="31">
        <v>0</v>
      </c>
      <c r="M10" s="21">
        <v>1500</v>
      </c>
      <c r="N10" s="22">
        <v>0</v>
      </c>
      <c r="O10" s="22">
        <v>0</v>
      </c>
      <c r="P10" s="21">
        <v>400</v>
      </c>
      <c r="Q10" s="23">
        <f t="shared" si="0"/>
        <v>1900</v>
      </c>
      <c r="R10" s="24"/>
    </row>
    <row r="11" spans="1:18" ht="24" customHeight="1" x14ac:dyDescent="0.25">
      <c r="A11" s="1"/>
      <c r="B11" s="14" t="s">
        <v>29</v>
      </c>
      <c r="C11" s="31">
        <v>2325244479</v>
      </c>
      <c r="D11" s="8" t="s">
        <v>77</v>
      </c>
      <c r="E11" s="9" t="s">
        <v>82</v>
      </c>
      <c r="F11" s="17">
        <v>45187</v>
      </c>
      <c r="G11" s="18" t="s">
        <v>161</v>
      </c>
      <c r="H11" s="18" t="s">
        <v>167</v>
      </c>
      <c r="I11" s="8" t="s">
        <v>141</v>
      </c>
      <c r="J11" s="31">
        <v>573026156</v>
      </c>
      <c r="K11" s="25" t="s">
        <v>93</v>
      </c>
      <c r="L11" s="31">
        <v>21</v>
      </c>
      <c r="M11" s="21">
        <v>1400</v>
      </c>
      <c r="N11" s="22">
        <v>0</v>
      </c>
      <c r="O11" s="22">
        <v>0</v>
      </c>
      <c r="P11" s="31">
        <v>400</v>
      </c>
      <c r="Q11" s="23">
        <f t="shared" si="0"/>
        <v>1800</v>
      </c>
      <c r="R11" s="24"/>
    </row>
    <row r="12" spans="1:18" ht="24" customHeight="1" x14ac:dyDescent="0.25">
      <c r="A12" s="1"/>
      <c r="B12" s="14" t="s">
        <v>30</v>
      </c>
      <c r="C12" s="12">
        <v>2306987377</v>
      </c>
      <c r="D12" s="8" t="s">
        <v>77</v>
      </c>
      <c r="E12" s="8" t="s">
        <v>84</v>
      </c>
      <c r="F12" s="17">
        <v>40726</v>
      </c>
      <c r="G12" s="18" t="s">
        <v>19</v>
      </c>
      <c r="H12" s="18" t="s">
        <v>168</v>
      </c>
      <c r="I12" s="8" t="s">
        <v>142</v>
      </c>
      <c r="J12" s="31">
        <v>532642478</v>
      </c>
      <c r="K12" s="25" t="s">
        <v>94</v>
      </c>
      <c r="L12" s="31">
        <v>60</v>
      </c>
      <c r="M12" s="21">
        <v>1400</v>
      </c>
      <c r="N12" s="22">
        <v>0</v>
      </c>
      <c r="O12" s="22">
        <v>0</v>
      </c>
      <c r="P12" s="31">
        <v>600</v>
      </c>
      <c r="Q12" s="23">
        <f t="shared" si="0"/>
        <v>2000</v>
      </c>
      <c r="R12" s="24"/>
    </row>
    <row r="13" spans="1:18" ht="24" customHeight="1" x14ac:dyDescent="0.25">
      <c r="A13" s="1"/>
      <c r="B13" s="14" t="s">
        <v>31</v>
      </c>
      <c r="C13" s="31">
        <v>1207113836</v>
      </c>
      <c r="D13" s="8" t="s">
        <v>77</v>
      </c>
      <c r="E13" s="8" t="s">
        <v>85</v>
      </c>
      <c r="F13" s="17">
        <v>45826</v>
      </c>
      <c r="G13" s="18" t="s">
        <v>169</v>
      </c>
      <c r="H13" s="18" t="s">
        <v>166</v>
      </c>
      <c r="I13" s="8" t="s">
        <v>152</v>
      </c>
      <c r="J13" s="31">
        <v>501165968</v>
      </c>
      <c r="K13" s="25" t="s">
        <v>193</v>
      </c>
      <c r="L13" s="31">
        <v>21</v>
      </c>
      <c r="M13" s="21">
        <v>4000</v>
      </c>
      <c r="N13" s="22">
        <v>0</v>
      </c>
      <c r="O13" s="22">
        <v>0</v>
      </c>
      <c r="P13" s="31">
        <v>0</v>
      </c>
      <c r="Q13" s="23">
        <f t="shared" si="0"/>
        <v>4000</v>
      </c>
      <c r="R13" s="24"/>
    </row>
    <row r="14" spans="1:18" ht="24" customHeight="1" x14ac:dyDescent="0.25">
      <c r="A14" s="1"/>
      <c r="B14" s="14" t="s">
        <v>32</v>
      </c>
      <c r="C14" s="12">
        <v>2283589519</v>
      </c>
      <c r="D14" s="8" t="s">
        <v>77</v>
      </c>
      <c r="E14" s="8" t="s">
        <v>83</v>
      </c>
      <c r="F14" s="17">
        <v>40960</v>
      </c>
      <c r="G14" s="18" t="s">
        <v>163</v>
      </c>
      <c r="H14" s="18" t="s">
        <v>162</v>
      </c>
      <c r="I14" s="8" t="s">
        <v>143</v>
      </c>
      <c r="J14" s="31">
        <v>592024470</v>
      </c>
      <c r="K14" s="25" t="s">
        <v>95</v>
      </c>
      <c r="L14" s="31">
        <v>30</v>
      </c>
      <c r="M14" s="21">
        <v>3100</v>
      </c>
      <c r="N14" s="22">
        <v>0</v>
      </c>
      <c r="O14" s="22">
        <v>0</v>
      </c>
      <c r="P14" s="31">
        <v>500</v>
      </c>
      <c r="Q14" s="23">
        <f t="shared" si="0"/>
        <v>3600</v>
      </c>
      <c r="R14" s="24"/>
    </row>
    <row r="15" spans="1:18" ht="24" customHeight="1" x14ac:dyDescent="0.25">
      <c r="A15" s="1"/>
      <c r="B15" s="14" t="s">
        <v>33</v>
      </c>
      <c r="C15" s="12">
        <v>1067473056</v>
      </c>
      <c r="D15" s="8" t="s">
        <v>78</v>
      </c>
      <c r="E15" s="8" t="s">
        <v>79</v>
      </c>
      <c r="F15" s="17">
        <v>45600</v>
      </c>
      <c r="G15" s="18" t="s">
        <v>161</v>
      </c>
      <c r="H15" s="18" t="s">
        <v>170</v>
      </c>
      <c r="I15" s="8" t="s">
        <v>144</v>
      </c>
      <c r="J15" s="31">
        <v>551848943</v>
      </c>
      <c r="K15" s="25" t="s">
        <v>96</v>
      </c>
      <c r="L15" s="31">
        <v>21</v>
      </c>
      <c r="M15" s="21">
        <v>4000</v>
      </c>
      <c r="N15" s="22">
        <v>0</v>
      </c>
      <c r="O15" s="22">
        <v>0</v>
      </c>
      <c r="P15" s="21">
        <v>0</v>
      </c>
      <c r="Q15" s="23">
        <f t="shared" si="0"/>
        <v>4000</v>
      </c>
      <c r="R15" s="24"/>
    </row>
    <row r="16" spans="1:18" ht="24" customHeight="1" x14ac:dyDescent="0.25">
      <c r="A16" s="1"/>
      <c r="B16" s="14" t="s">
        <v>34</v>
      </c>
      <c r="C16" s="12">
        <v>2367492895</v>
      </c>
      <c r="D16" s="8" t="s">
        <v>77</v>
      </c>
      <c r="E16" s="8" t="s">
        <v>81</v>
      </c>
      <c r="F16" s="17">
        <v>41800</v>
      </c>
      <c r="G16" s="18" t="s">
        <v>163</v>
      </c>
      <c r="H16" s="18" t="s">
        <v>19</v>
      </c>
      <c r="I16" s="8" t="s">
        <v>139</v>
      </c>
      <c r="J16" s="31">
        <v>536189691</v>
      </c>
      <c r="K16" s="25" t="s">
        <v>97</v>
      </c>
      <c r="L16" s="31">
        <v>60</v>
      </c>
      <c r="M16" s="21">
        <v>1600</v>
      </c>
      <c r="N16" s="22">
        <v>0</v>
      </c>
      <c r="O16" s="22">
        <v>0</v>
      </c>
      <c r="P16" s="31">
        <v>500</v>
      </c>
      <c r="Q16" s="23">
        <f t="shared" si="0"/>
        <v>2100</v>
      </c>
      <c r="R16" s="24"/>
    </row>
    <row r="17" spans="1:18" ht="24" customHeight="1" x14ac:dyDescent="0.25">
      <c r="A17" s="1"/>
      <c r="B17" s="14" t="s">
        <v>35</v>
      </c>
      <c r="C17" s="12">
        <v>2366421713</v>
      </c>
      <c r="D17" s="8" t="s">
        <v>77</v>
      </c>
      <c r="E17" s="8" t="s">
        <v>80</v>
      </c>
      <c r="F17" s="17">
        <v>41769</v>
      </c>
      <c r="G17" s="18" t="s">
        <v>160</v>
      </c>
      <c r="H17" s="18" t="s">
        <v>160</v>
      </c>
      <c r="I17" s="8" t="s">
        <v>145</v>
      </c>
      <c r="J17" s="31">
        <v>592842630</v>
      </c>
      <c r="K17" s="25" t="s">
        <v>98</v>
      </c>
      <c r="L17" s="31">
        <v>0</v>
      </c>
      <c r="M17" s="21">
        <v>1100</v>
      </c>
      <c r="N17" s="22">
        <v>400</v>
      </c>
      <c r="O17" s="22">
        <v>0</v>
      </c>
      <c r="P17" s="31">
        <v>400</v>
      </c>
      <c r="Q17" s="23">
        <f t="shared" si="0"/>
        <v>1900</v>
      </c>
      <c r="R17" s="24"/>
    </row>
    <row r="18" spans="1:18" ht="24" customHeight="1" x14ac:dyDescent="0.25">
      <c r="A18" s="1"/>
      <c r="B18" s="14" t="s">
        <v>36</v>
      </c>
      <c r="C18" s="31">
        <v>2364517926</v>
      </c>
      <c r="D18" s="8" t="s">
        <v>77</v>
      </c>
      <c r="E18" s="8" t="s">
        <v>80</v>
      </c>
      <c r="F18" s="17">
        <v>41738</v>
      </c>
      <c r="G18" s="18" t="s">
        <v>171</v>
      </c>
      <c r="H18" s="18" t="s">
        <v>160</v>
      </c>
      <c r="I18" s="8" t="s">
        <v>146</v>
      </c>
      <c r="J18" s="31">
        <v>582040082</v>
      </c>
      <c r="K18" s="25" t="s">
        <v>99</v>
      </c>
      <c r="L18" s="31">
        <v>0</v>
      </c>
      <c r="M18" s="21">
        <v>2200</v>
      </c>
      <c r="N18" s="22">
        <v>0</v>
      </c>
      <c r="O18" s="22">
        <v>0</v>
      </c>
      <c r="P18" s="21">
        <v>0</v>
      </c>
      <c r="Q18" s="23">
        <f t="shared" si="0"/>
        <v>2200</v>
      </c>
      <c r="R18" s="24"/>
    </row>
    <row r="19" spans="1:18" ht="24" customHeight="1" x14ac:dyDescent="0.25">
      <c r="A19" s="1"/>
      <c r="B19" s="14" t="s">
        <v>37</v>
      </c>
      <c r="C19" s="42">
        <v>1099604686</v>
      </c>
      <c r="D19" s="10" t="s">
        <v>77</v>
      </c>
      <c r="E19" s="10" t="s">
        <v>85</v>
      </c>
      <c r="F19" s="17">
        <v>45775</v>
      </c>
      <c r="G19" s="18" t="s">
        <v>169</v>
      </c>
      <c r="H19" s="18" t="s">
        <v>19</v>
      </c>
      <c r="I19" s="10" t="s">
        <v>147</v>
      </c>
      <c r="J19" s="42">
        <v>565737226</v>
      </c>
      <c r="K19" s="26" t="s">
        <v>100</v>
      </c>
      <c r="L19" s="31">
        <v>12</v>
      </c>
      <c r="M19" s="21">
        <v>4000</v>
      </c>
      <c r="N19" s="27">
        <v>0</v>
      </c>
      <c r="O19" s="27">
        <v>0</v>
      </c>
      <c r="P19" s="28">
        <v>0</v>
      </c>
      <c r="Q19" s="23">
        <f t="shared" si="0"/>
        <v>4000</v>
      </c>
      <c r="R19" s="24"/>
    </row>
    <row r="20" spans="1:18" ht="24" customHeight="1" x14ac:dyDescent="0.25">
      <c r="A20" s="1"/>
      <c r="B20" s="14" t="s">
        <v>38</v>
      </c>
      <c r="C20" s="12">
        <v>2367493612</v>
      </c>
      <c r="D20" s="8" t="s">
        <v>77</v>
      </c>
      <c r="E20" s="8" t="s">
        <v>84</v>
      </c>
      <c r="F20" s="17">
        <v>41793</v>
      </c>
      <c r="G20" s="18" t="s">
        <v>160</v>
      </c>
      <c r="H20" s="18" t="s">
        <v>160</v>
      </c>
      <c r="I20" s="8" t="s">
        <v>148</v>
      </c>
      <c r="J20" s="31">
        <v>506022631</v>
      </c>
      <c r="K20" s="25" t="s">
        <v>101</v>
      </c>
      <c r="L20" s="31">
        <v>0</v>
      </c>
      <c r="M20" s="21">
        <v>1100</v>
      </c>
      <c r="N20" s="22">
        <v>0</v>
      </c>
      <c r="O20" s="22">
        <v>0</v>
      </c>
      <c r="P20" s="21">
        <v>0</v>
      </c>
      <c r="Q20" s="23">
        <f t="shared" si="0"/>
        <v>1100</v>
      </c>
      <c r="R20" s="24"/>
    </row>
    <row r="21" spans="1:18" ht="24" customHeight="1" x14ac:dyDescent="0.25">
      <c r="A21" s="1"/>
      <c r="B21" s="14" t="s">
        <v>39</v>
      </c>
      <c r="C21" s="12">
        <v>2487108330</v>
      </c>
      <c r="D21" s="8" t="s">
        <v>77</v>
      </c>
      <c r="E21" s="8" t="s">
        <v>84</v>
      </c>
      <c r="F21" s="17">
        <v>44304</v>
      </c>
      <c r="G21" s="18" t="s">
        <v>161</v>
      </c>
      <c r="H21" s="18" t="s">
        <v>162</v>
      </c>
      <c r="I21" s="8" t="s">
        <v>146</v>
      </c>
      <c r="J21" s="31">
        <v>577535320</v>
      </c>
      <c r="K21" s="25" t="s">
        <v>102</v>
      </c>
      <c r="L21" s="31">
        <v>0</v>
      </c>
      <c r="M21" s="21">
        <v>1800</v>
      </c>
      <c r="N21" s="22">
        <v>0</v>
      </c>
      <c r="O21" s="22">
        <v>0</v>
      </c>
      <c r="P21" s="21">
        <v>0</v>
      </c>
      <c r="Q21" s="23">
        <f t="shared" si="0"/>
        <v>1800</v>
      </c>
      <c r="R21" s="24"/>
    </row>
    <row r="22" spans="1:18" ht="24" customHeight="1" x14ac:dyDescent="0.25">
      <c r="A22" s="1"/>
      <c r="B22" s="14" t="s">
        <v>40</v>
      </c>
      <c r="C22" s="12">
        <v>2562504122</v>
      </c>
      <c r="D22" s="8" t="s">
        <v>77</v>
      </c>
      <c r="E22" s="8" t="s">
        <v>83</v>
      </c>
      <c r="F22" s="17">
        <v>45276</v>
      </c>
      <c r="G22" s="18" t="s">
        <v>19</v>
      </c>
      <c r="H22" s="18" t="s">
        <v>172</v>
      </c>
      <c r="I22" s="8" t="s">
        <v>149</v>
      </c>
      <c r="J22" s="31">
        <v>546467607</v>
      </c>
      <c r="K22" s="25" t="s">
        <v>103</v>
      </c>
      <c r="L22" s="31">
        <v>0</v>
      </c>
      <c r="M22" s="21">
        <v>5000</v>
      </c>
      <c r="N22" s="22">
        <v>0</v>
      </c>
      <c r="O22" s="22">
        <v>0</v>
      </c>
      <c r="P22" s="21">
        <v>0</v>
      </c>
      <c r="Q22" s="23">
        <f t="shared" si="0"/>
        <v>5000</v>
      </c>
      <c r="R22" s="24"/>
    </row>
    <row r="23" spans="1:18" ht="24" customHeight="1" x14ac:dyDescent="0.25">
      <c r="A23" s="1"/>
      <c r="B23" s="14" t="s">
        <v>41</v>
      </c>
      <c r="C23" s="12">
        <v>1119905212</v>
      </c>
      <c r="D23" s="8" t="s">
        <v>77</v>
      </c>
      <c r="E23" s="8" t="s">
        <v>85</v>
      </c>
      <c r="F23" s="17">
        <v>45706</v>
      </c>
      <c r="G23" s="18" t="s">
        <v>161</v>
      </c>
      <c r="H23" s="18" t="s">
        <v>167</v>
      </c>
      <c r="I23" s="8" t="s">
        <v>150</v>
      </c>
      <c r="J23" s="31">
        <v>552931981</v>
      </c>
      <c r="K23" s="25" t="s">
        <v>104</v>
      </c>
      <c r="L23" s="31">
        <v>7</v>
      </c>
      <c r="M23" s="21">
        <v>4000</v>
      </c>
      <c r="N23" s="22">
        <v>0</v>
      </c>
      <c r="O23" s="22">
        <v>0</v>
      </c>
      <c r="P23" s="21">
        <v>0</v>
      </c>
      <c r="Q23" s="23">
        <f t="shared" si="0"/>
        <v>4000</v>
      </c>
      <c r="R23" s="24"/>
    </row>
    <row r="24" spans="1:18" ht="24" customHeight="1" x14ac:dyDescent="0.25">
      <c r="A24" s="1"/>
      <c r="B24" s="14" t="s">
        <v>42</v>
      </c>
      <c r="C24" s="12">
        <v>1110902515</v>
      </c>
      <c r="D24" s="8" t="s">
        <v>77</v>
      </c>
      <c r="E24" s="8" t="s">
        <v>85</v>
      </c>
      <c r="F24" s="17">
        <v>44995</v>
      </c>
      <c r="G24" s="18" t="s">
        <v>161</v>
      </c>
      <c r="H24" s="18" t="s">
        <v>19</v>
      </c>
      <c r="I24" s="8" t="s">
        <v>151</v>
      </c>
      <c r="J24" s="31">
        <v>552592441</v>
      </c>
      <c r="K24" s="25" t="s">
        <v>105</v>
      </c>
      <c r="L24" s="31">
        <v>3</v>
      </c>
      <c r="M24" s="21">
        <v>4000</v>
      </c>
      <c r="N24" s="22">
        <v>0</v>
      </c>
      <c r="O24" s="22">
        <v>0</v>
      </c>
      <c r="P24" s="31">
        <v>200</v>
      </c>
      <c r="Q24" s="23">
        <f t="shared" si="0"/>
        <v>4200</v>
      </c>
      <c r="R24" s="24"/>
    </row>
    <row r="25" spans="1:18" ht="24" customHeight="1" x14ac:dyDescent="0.25">
      <c r="A25" s="1"/>
      <c r="B25" s="14" t="s">
        <v>43</v>
      </c>
      <c r="C25" s="31">
        <v>2465831010</v>
      </c>
      <c r="D25" s="8" t="s">
        <v>77</v>
      </c>
      <c r="E25" s="8" t="s">
        <v>82</v>
      </c>
      <c r="F25" s="17">
        <v>43522</v>
      </c>
      <c r="G25" s="18" t="s">
        <v>161</v>
      </c>
      <c r="H25" s="18" t="s">
        <v>166</v>
      </c>
      <c r="I25" s="8" t="s">
        <v>139</v>
      </c>
      <c r="J25" s="31">
        <v>532356240</v>
      </c>
      <c r="K25" s="25" t="s">
        <v>106</v>
      </c>
      <c r="L25" s="31">
        <v>0</v>
      </c>
      <c r="M25" s="21">
        <v>1000</v>
      </c>
      <c r="N25" s="22">
        <v>200</v>
      </c>
      <c r="O25" s="22">
        <v>0</v>
      </c>
      <c r="P25" s="31">
        <v>500</v>
      </c>
      <c r="Q25" s="23">
        <f t="shared" si="0"/>
        <v>1700</v>
      </c>
      <c r="R25" s="24"/>
    </row>
    <row r="26" spans="1:18" ht="24" customHeight="1" x14ac:dyDescent="0.25">
      <c r="A26" s="1"/>
      <c r="B26" s="14" t="s">
        <v>44</v>
      </c>
      <c r="C26" s="31">
        <v>2465830186</v>
      </c>
      <c r="D26" s="8" t="s">
        <v>77</v>
      </c>
      <c r="E26" s="8" t="s">
        <v>82</v>
      </c>
      <c r="F26" s="17">
        <v>43522</v>
      </c>
      <c r="G26" s="18" t="s">
        <v>163</v>
      </c>
      <c r="H26" s="18" t="s">
        <v>162</v>
      </c>
      <c r="I26" s="8" t="s">
        <v>139</v>
      </c>
      <c r="J26" s="31">
        <v>508903342</v>
      </c>
      <c r="K26" s="25" t="s">
        <v>107</v>
      </c>
      <c r="L26" s="31">
        <v>60</v>
      </c>
      <c r="M26" s="21">
        <v>1000</v>
      </c>
      <c r="N26" s="22">
        <v>200</v>
      </c>
      <c r="O26" s="22">
        <v>0</v>
      </c>
      <c r="P26" s="31">
        <v>500</v>
      </c>
      <c r="Q26" s="23">
        <f t="shared" si="0"/>
        <v>1700</v>
      </c>
      <c r="R26" s="24"/>
    </row>
    <row r="27" spans="1:18" ht="24" customHeight="1" x14ac:dyDescent="0.25">
      <c r="A27" s="1"/>
      <c r="B27" s="14" t="s">
        <v>45</v>
      </c>
      <c r="C27" s="31">
        <v>2552866333</v>
      </c>
      <c r="D27" s="8" t="s">
        <v>77</v>
      </c>
      <c r="E27" s="8" t="s">
        <v>83</v>
      </c>
      <c r="F27" s="17">
        <v>45155</v>
      </c>
      <c r="G27" s="18" t="s">
        <v>163</v>
      </c>
      <c r="H27" s="18" t="s">
        <v>19</v>
      </c>
      <c r="I27" s="8" t="s">
        <v>139</v>
      </c>
      <c r="J27" s="31">
        <v>535818031</v>
      </c>
      <c r="K27" s="25" t="s">
        <v>108</v>
      </c>
      <c r="L27" s="31">
        <v>0</v>
      </c>
      <c r="M27" s="21">
        <v>2500</v>
      </c>
      <c r="N27" s="22">
        <v>0</v>
      </c>
      <c r="O27" s="22">
        <v>0</v>
      </c>
      <c r="P27" s="21">
        <v>200</v>
      </c>
      <c r="Q27" s="23">
        <f t="shared" si="0"/>
        <v>2700</v>
      </c>
      <c r="R27" s="24"/>
    </row>
    <row r="28" spans="1:18" ht="24" customHeight="1" x14ac:dyDescent="0.25">
      <c r="A28" s="1"/>
      <c r="B28" s="14" t="s">
        <v>46</v>
      </c>
      <c r="C28" s="31">
        <v>2521704086</v>
      </c>
      <c r="D28" s="9" t="s">
        <v>77</v>
      </c>
      <c r="E28" s="9" t="s">
        <v>81</v>
      </c>
      <c r="F28" s="17">
        <v>44784</v>
      </c>
      <c r="G28" s="18" t="s">
        <v>163</v>
      </c>
      <c r="H28" s="18" t="s">
        <v>167</v>
      </c>
      <c r="I28" s="9" t="s">
        <v>139</v>
      </c>
      <c r="J28" s="31">
        <v>532363546</v>
      </c>
      <c r="K28" s="29" t="s">
        <v>109</v>
      </c>
      <c r="L28" s="31">
        <v>0</v>
      </c>
      <c r="M28" s="21">
        <v>1800</v>
      </c>
      <c r="N28" s="22">
        <v>0</v>
      </c>
      <c r="O28" s="22">
        <v>0</v>
      </c>
      <c r="P28" s="21">
        <v>0</v>
      </c>
      <c r="Q28" s="23">
        <f t="shared" si="0"/>
        <v>1800</v>
      </c>
      <c r="R28" s="24"/>
    </row>
    <row r="29" spans="1:18" ht="24" customHeight="1" x14ac:dyDescent="0.25">
      <c r="A29" s="1"/>
      <c r="B29" s="14" t="s">
        <v>47</v>
      </c>
      <c r="C29" s="12">
        <v>2492235524</v>
      </c>
      <c r="D29" s="8" t="s">
        <v>77</v>
      </c>
      <c r="E29" s="8" t="s">
        <v>86</v>
      </c>
      <c r="F29" s="17">
        <v>44131</v>
      </c>
      <c r="G29" s="18" t="s">
        <v>19</v>
      </c>
      <c r="H29" s="18" t="s">
        <v>168</v>
      </c>
      <c r="I29" s="8" t="s">
        <v>139</v>
      </c>
      <c r="J29" s="31">
        <v>552831646</v>
      </c>
      <c r="K29" s="25" t="s">
        <v>110</v>
      </c>
      <c r="L29" s="31">
        <v>30</v>
      </c>
      <c r="M29" s="21">
        <v>1500</v>
      </c>
      <c r="N29" s="22">
        <v>0</v>
      </c>
      <c r="O29" s="22">
        <v>0</v>
      </c>
      <c r="P29" s="31">
        <v>200</v>
      </c>
      <c r="Q29" s="23">
        <f t="shared" si="0"/>
        <v>1700</v>
      </c>
      <c r="R29" s="24"/>
    </row>
    <row r="30" spans="1:18" ht="24" customHeight="1" x14ac:dyDescent="0.25">
      <c r="A30" s="1"/>
      <c r="B30" s="14" t="s">
        <v>48</v>
      </c>
      <c r="C30" s="31">
        <v>2518764192</v>
      </c>
      <c r="D30" s="8" t="s">
        <v>77</v>
      </c>
      <c r="E30" s="8" t="s">
        <v>82</v>
      </c>
      <c r="F30" s="17">
        <v>44773</v>
      </c>
      <c r="G30" s="18" t="s">
        <v>163</v>
      </c>
      <c r="H30" s="18" t="s">
        <v>162</v>
      </c>
      <c r="I30" s="8" t="s">
        <v>139</v>
      </c>
      <c r="J30" s="31">
        <v>578061364</v>
      </c>
      <c r="K30" s="25" t="s">
        <v>111</v>
      </c>
      <c r="L30" s="31">
        <v>21</v>
      </c>
      <c r="M30" s="21">
        <v>1500</v>
      </c>
      <c r="N30" s="22">
        <v>0</v>
      </c>
      <c r="O30" s="22">
        <v>0</v>
      </c>
      <c r="P30" s="21">
        <v>0</v>
      </c>
      <c r="Q30" s="23">
        <f t="shared" si="0"/>
        <v>1500</v>
      </c>
      <c r="R30" s="24"/>
    </row>
    <row r="31" spans="1:18" ht="24" customHeight="1" x14ac:dyDescent="0.25">
      <c r="A31" s="1"/>
      <c r="B31" s="14" t="s">
        <v>49</v>
      </c>
      <c r="C31" s="31">
        <v>2481928717</v>
      </c>
      <c r="D31" s="8" t="s">
        <v>77</v>
      </c>
      <c r="E31" s="8" t="s">
        <v>84</v>
      </c>
      <c r="F31" s="17">
        <v>43897</v>
      </c>
      <c r="G31" s="18" t="s">
        <v>163</v>
      </c>
      <c r="H31" s="18" t="s">
        <v>166</v>
      </c>
      <c r="I31" s="8" t="s">
        <v>139</v>
      </c>
      <c r="J31" s="31">
        <v>551575469</v>
      </c>
      <c r="K31" s="25" t="s">
        <v>112</v>
      </c>
      <c r="L31" s="31">
        <v>30</v>
      </c>
      <c r="M31" s="21">
        <v>1500</v>
      </c>
      <c r="N31" s="22">
        <v>0</v>
      </c>
      <c r="O31" s="22">
        <v>0</v>
      </c>
      <c r="P31" s="31">
        <v>300</v>
      </c>
      <c r="Q31" s="23">
        <f t="shared" si="0"/>
        <v>1800</v>
      </c>
      <c r="R31" s="24"/>
    </row>
    <row r="32" spans="1:18" ht="24" customHeight="1" x14ac:dyDescent="0.25">
      <c r="A32" s="1"/>
      <c r="B32" s="14" t="s">
        <v>50</v>
      </c>
      <c r="C32" s="31">
        <v>2440333439</v>
      </c>
      <c r="D32" s="8" t="s">
        <v>77</v>
      </c>
      <c r="E32" s="8" t="s">
        <v>82</v>
      </c>
      <c r="F32" s="17">
        <v>43356</v>
      </c>
      <c r="G32" s="18" t="s">
        <v>161</v>
      </c>
      <c r="H32" s="18" t="s">
        <v>166</v>
      </c>
      <c r="I32" s="8" t="s">
        <v>139</v>
      </c>
      <c r="J32" s="31">
        <v>572997203</v>
      </c>
      <c r="K32" s="25" t="s">
        <v>113</v>
      </c>
      <c r="L32" s="31">
        <v>30</v>
      </c>
      <c r="M32" s="21">
        <v>1800</v>
      </c>
      <c r="N32" s="22">
        <v>0</v>
      </c>
      <c r="O32" s="22">
        <v>0</v>
      </c>
      <c r="P32" s="21" t="s">
        <v>159</v>
      </c>
      <c r="Q32" s="23">
        <f t="shared" si="0"/>
        <v>1800</v>
      </c>
      <c r="R32" s="24"/>
    </row>
    <row r="33" spans="1:18" ht="24" customHeight="1" x14ac:dyDescent="0.25">
      <c r="A33" s="1"/>
      <c r="B33" s="14" t="s">
        <v>51</v>
      </c>
      <c r="C33" s="12">
        <v>2460208313</v>
      </c>
      <c r="D33" s="8" t="s">
        <v>77</v>
      </c>
      <c r="E33" s="8" t="s">
        <v>86</v>
      </c>
      <c r="F33" s="17">
        <v>43417</v>
      </c>
      <c r="G33" s="18" t="s">
        <v>161</v>
      </c>
      <c r="H33" s="18" t="s">
        <v>173</v>
      </c>
      <c r="I33" s="8" t="s">
        <v>153</v>
      </c>
      <c r="J33" s="31">
        <v>571237768</v>
      </c>
      <c r="K33" s="25" t="s">
        <v>114</v>
      </c>
      <c r="L33" s="31">
        <v>30</v>
      </c>
      <c r="M33" s="21">
        <v>1200</v>
      </c>
      <c r="N33" s="22">
        <v>0</v>
      </c>
      <c r="O33" s="22">
        <v>0</v>
      </c>
      <c r="P33" s="31">
        <v>500</v>
      </c>
      <c r="Q33" s="23">
        <f t="shared" si="0"/>
        <v>1700</v>
      </c>
      <c r="R33" s="24"/>
    </row>
    <row r="34" spans="1:18" ht="24" customHeight="1" x14ac:dyDescent="0.25">
      <c r="A34" s="1"/>
      <c r="B34" s="14" t="s">
        <v>52</v>
      </c>
      <c r="C34" s="31">
        <v>2547958955</v>
      </c>
      <c r="D34" s="8" t="s">
        <v>77</v>
      </c>
      <c r="E34" s="8" t="s">
        <v>86</v>
      </c>
      <c r="F34" s="17">
        <v>45322</v>
      </c>
      <c r="G34" s="18" t="s">
        <v>161</v>
      </c>
      <c r="H34" s="18" t="s">
        <v>166</v>
      </c>
      <c r="I34" s="8" t="s">
        <v>136</v>
      </c>
      <c r="J34" s="31">
        <v>560546651</v>
      </c>
      <c r="K34" s="25" t="s">
        <v>115</v>
      </c>
      <c r="L34" s="31">
        <v>42</v>
      </c>
      <c r="M34" s="21">
        <v>1700</v>
      </c>
      <c r="N34" s="22">
        <v>0</v>
      </c>
      <c r="O34" s="22">
        <v>0</v>
      </c>
      <c r="P34" s="21">
        <v>0</v>
      </c>
      <c r="Q34" s="23">
        <f t="shared" ref="Q34:Q50" si="1">IF(COUNT(M34:P34)=0,"",SUM(M34:P34))</f>
        <v>1700</v>
      </c>
      <c r="R34" s="24"/>
    </row>
    <row r="35" spans="1:18" ht="24" customHeight="1" x14ac:dyDescent="0.25">
      <c r="A35" s="1"/>
      <c r="B35" s="14" t="s">
        <v>53</v>
      </c>
      <c r="C35" s="31">
        <v>2465830822</v>
      </c>
      <c r="D35" s="8" t="s">
        <v>77</v>
      </c>
      <c r="E35" s="8" t="s">
        <v>82</v>
      </c>
      <c r="F35" s="17">
        <v>43522</v>
      </c>
      <c r="G35" s="18" t="s">
        <v>163</v>
      </c>
      <c r="H35" s="18" t="s">
        <v>167</v>
      </c>
      <c r="I35" s="8" t="s">
        <v>141</v>
      </c>
      <c r="J35" s="31">
        <v>582155827</v>
      </c>
      <c r="K35" s="25" t="s">
        <v>116</v>
      </c>
      <c r="L35" s="31">
        <v>21</v>
      </c>
      <c r="M35" s="21">
        <v>1000</v>
      </c>
      <c r="N35" s="22">
        <v>200</v>
      </c>
      <c r="O35" s="22">
        <v>0</v>
      </c>
      <c r="P35" s="31">
        <v>500</v>
      </c>
      <c r="Q35" s="23">
        <f t="shared" si="1"/>
        <v>1700</v>
      </c>
      <c r="R35" s="24"/>
    </row>
    <row r="36" spans="1:18" ht="24" customHeight="1" x14ac:dyDescent="0.25">
      <c r="A36" s="1"/>
      <c r="B36" s="14" t="s">
        <v>54</v>
      </c>
      <c r="C36" s="12">
        <v>2532369440</v>
      </c>
      <c r="D36" s="8" t="s">
        <v>77</v>
      </c>
      <c r="E36" s="8" t="s">
        <v>83</v>
      </c>
      <c r="F36" s="17">
        <v>44875</v>
      </c>
      <c r="G36" s="18" t="s">
        <v>161</v>
      </c>
      <c r="H36" s="18" t="s">
        <v>162</v>
      </c>
      <c r="I36" s="8" t="s">
        <v>137</v>
      </c>
      <c r="J36" s="31">
        <v>547496905</v>
      </c>
      <c r="K36" s="25" t="s">
        <v>117</v>
      </c>
      <c r="L36" s="31">
        <v>0</v>
      </c>
      <c r="M36" s="21">
        <v>2200</v>
      </c>
      <c r="N36" s="22">
        <v>0</v>
      </c>
      <c r="O36" s="22">
        <v>0</v>
      </c>
      <c r="P36" s="21">
        <v>0</v>
      </c>
      <c r="Q36" s="23">
        <f t="shared" si="1"/>
        <v>2200</v>
      </c>
      <c r="R36" s="24"/>
    </row>
    <row r="37" spans="1:18" ht="24" customHeight="1" x14ac:dyDescent="0.25">
      <c r="A37" s="1"/>
      <c r="B37" s="14" t="s">
        <v>55</v>
      </c>
      <c r="C37" s="31">
        <v>2499778427</v>
      </c>
      <c r="D37" s="8" t="s">
        <v>77</v>
      </c>
      <c r="E37" s="8" t="s">
        <v>81</v>
      </c>
      <c r="F37" s="17">
        <v>44392</v>
      </c>
      <c r="G37" s="18" t="s">
        <v>19</v>
      </c>
      <c r="H37" s="18" t="s">
        <v>174</v>
      </c>
      <c r="I37" s="8" t="s">
        <v>139</v>
      </c>
      <c r="J37" s="31">
        <v>502669421</v>
      </c>
      <c r="K37" s="25" t="s">
        <v>118</v>
      </c>
      <c r="L37" s="31">
        <v>42</v>
      </c>
      <c r="M37" s="21">
        <v>2000</v>
      </c>
      <c r="N37" s="22">
        <v>0</v>
      </c>
      <c r="O37" s="22">
        <v>0</v>
      </c>
      <c r="P37" s="21">
        <v>0</v>
      </c>
      <c r="Q37" s="23">
        <f t="shared" si="1"/>
        <v>2000</v>
      </c>
      <c r="R37" s="24"/>
    </row>
    <row r="38" spans="1:18" ht="24" customHeight="1" x14ac:dyDescent="0.25">
      <c r="A38" s="1"/>
      <c r="B38" s="14" t="s">
        <v>56</v>
      </c>
      <c r="C38" s="12">
        <v>2471923587</v>
      </c>
      <c r="D38" s="8" t="s">
        <v>77</v>
      </c>
      <c r="E38" s="8" t="s">
        <v>86</v>
      </c>
      <c r="F38" s="17">
        <v>43831</v>
      </c>
      <c r="G38" s="18" t="s">
        <v>161</v>
      </c>
      <c r="H38" s="18" t="s">
        <v>175</v>
      </c>
      <c r="I38" s="8" t="s">
        <v>153</v>
      </c>
      <c r="J38" s="31">
        <v>578160816</v>
      </c>
      <c r="K38" s="25" t="s">
        <v>119</v>
      </c>
      <c r="L38" s="31">
        <v>60</v>
      </c>
      <c r="M38" s="21">
        <v>1500</v>
      </c>
      <c r="N38" s="22">
        <v>0</v>
      </c>
      <c r="O38" s="22">
        <v>0</v>
      </c>
      <c r="P38" s="31">
        <v>300</v>
      </c>
      <c r="Q38" s="23">
        <f t="shared" si="1"/>
        <v>1800</v>
      </c>
      <c r="R38" s="24"/>
    </row>
    <row r="39" spans="1:18" ht="24" customHeight="1" x14ac:dyDescent="0.25">
      <c r="A39" s="1"/>
      <c r="B39" s="14" t="s">
        <v>57</v>
      </c>
      <c r="C39" s="33">
        <v>2518762824</v>
      </c>
      <c r="D39" s="11" t="s">
        <v>77</v>
      </c>
      <c r="E39" s="11" t="s">
        <v>82</v>
      </c>
      <c r="F39" s="17">
        <v>44788</v>
      </c>
      <c r="G39" s="18" t="s">
        <v>161</v>
      </c>
      <c r="H39" s="18" t="s">
        <v>173</v>
      </c>
      <c r="I39" s="11" t="s">
        <v>139</v>
      </c>
      <c r="J39" s="33">
        <v>573250991</v>
      </c>
      <c r="K39" s="15" t="s">
        <v>120</v>
      </c>
      <c r="L39" s="31">
        <v>84</v>
      </c>
      <c r="M39" s="21">
        <v>1600</v>
      </c>
      <c r="N39" s="22">
        <v>0</v>
      </c>
      <c r="O39" s="22">
        <v>0</v>
      </c>
      <c r="P39" s="21">
        <v>0</v>
      </c>
      <c r="Q39" s="23">
        <f t="shared" si="1"/>
        <v>1600</v>
      </c>
      <c r="R39" s="24"/>
    </row>
    <row r="40" spans="1:18" ht="24" customHeight="1" x14ac:dyDescent="0.25">
      <c r="A40" s="1"/>
      <c r="B40" s="14" t="s">
        <v>58</v>
      </c>
      <c r="C40" s="12">
        <v>1057909903</v>
      </c>
      <c r="D40" s="8" t="s">
        <v>78</v>
      </c>
      <c r="E40" s="8" t="s">
        <v>79</v>
      </c>
      <c r="F40" s="17">
        <v>45214</v>
      </c>
      <c r="G40" s="18" t="s">
        <v>161</v>
      </c>
      <c r="H40" s="18" t="s">
        <v>166</v>
      </c>
      <c r="I40" s="8" t="s">
        <v>158</v>
      </c>
      <c r="J40" s="31">
        <v>533522244</v>
      </c>
      <c r="K40" s="25" t="s">
        <v>121</v>
      </c>
      <c r="L40" s="31">
        <v>22</v>
      </c>
      <c r="M40" s="21">
        <v>4000</v>
      </c>
      <c r="N40" s="22">
        <v>0</v>
      </c>
      <c r="O40" s="22">
        <v>0</v>
      </c>
      <c r="P40" s="21">
        <v>0</v>
      </c>
      <c r="Q40" s="23">
        <f t="shared" si="1"/>
        <v>4000</v>
      </c>
      <c r="R40" s="24"/>
    </row>
    <row r="41" spans="1:18" ht="24" customHeight="1" x14ac:dyDescent="0.25">
      <c r="A41" s="1"/>
      <c r="B41" s="14" t="s">
        <v>59</v>
      </c>
      <c r="C41" s="31">
        <v>2431491014</v>
      </c>
      <c r="D41" s="8" t="s">
        <v>77</v>
      </c>
      <c r="E41" s="8" t="s">
        <v>86</v>
      </c>
      <c r="F41" s="17">
        <v>43361</v>
      </c>
      <c r="G41" s="18" t="s">
        <v>161</v>
      </c>
      <c r="H41" s="18" t="s">
        <v>166</v>
      </c>
      <c r="I41" s="8" t="s">
        <v>139</v>
      </c>
      <c r="J41" s="31">
        <v>533799286</v>
      </c>
      <c r="K41" s="25" t="s">
        <v>122</v>
      </c>
      <c r="L41" s="31">
        <v>90</v>
      </c>
      <c r="M41" s="21">
        <v>1200</v>
      </c>
      <c r="N41" s="22">
        <v>0</v>
      </c>
      <c r="O41" s="22">
        <v>0</v>
      </c>
      <c r="P41" s="31">
        <v>500</v>
      </c>
      <c r="Q41" s="23">
        <f t="shared" si="1"/>
        <v>1700</v>
      </c>
      <c r="R41" s="24"/>
    </row>
    <row r="42" spans="1:18" ht="24" customHeight="1" x14ac:dyDescent="0.25">
      <c r="A42" s="1"/>
      <c r="B42" s="14" t="s">
        <v>60</v>
      </c>
      <c r="C42" s="12">
        <v>2532369572</v>
      </c>
      <c r="D42" s="8" t="s">
        <v>77</v>
      </c>
      <c r="E42" s="8" t="s">
        <v>86</v>
      </c>
      <c r="F42" s="17">
        <v>44875</v>
      </c>
      <c r="G42" s="18" t="s">
        <v>169</v>
      </c>
      <c r="H42" s="18" t="s">
        <v>175</v>
      </c>
      <c r="I42" s="8" t="s">
        <v>136</v>
      </c>
      <c r="J42" s="31">
        <v>544891480</v>
      </c>
      <c r="K42" s="25" t="s">
        <v>123</v>
      </c>
      <c r="L42" s="31">
        <v>42</v>
      </c>
      <c r="M42" s="21">
        <v>1700</v>
      </c>
      <c r="N42" s="22">
        <v>0</v>
      </c>
      <c r="O42" s="22">
        <v>0</v>
      </c>
      <c r="P42" s="21">
        <v>0</v>
      </c>
      <c r="Q42" s="23">
        <f t="shared" si="1"/>
        <v>1700</v>
      </c>
      <c r="R42" s="24"/>
    </row>
    <row r="43" spans="1:18" ht="24" customHeight="1" x14ac:dyDescent="0.25">
      <c r="A43" s="1"/>
      <c r="B43" s="14" t="s">
        <v>61</v>
      </c>
      <c r="C43" s="13">
        <v>2538279528</v>
      </c>
      <c r="D43" s="11" t="s">
        <v>77</v>
      </c>
      <c r="E43" s="11" t="s">
        <v>83</v>
      </c>
      <c r="F43" s="17">
        <v>44551</v>
      </c>
      <c r="G43" s="18" t="s">
        <v>161</v>
      </c>
      <c r="H43" s="18" t="s">
        <v>162</v>
      </c>
      <c r="I43" s="11" t="s">
        <v>154</v>
      </c>
      <c r="J43" s="33">
        <v>505840589</v>
      </c>
      <c r="K43" s="15" t="s">
        <v>124</v>
      </c>
      <c r="L43" s="31">
        <v>0</v>
      </c>
      <c r="M43" s="21">
        <v>3000</v>
      </c>
      <c r="N43" s="22">
        <v>0</v>
      </c>
      <c r="O43" s="22">
        <v>0</v>
      </c>
      <c r="P43" s="31">
        <v>300</v>
      </c>
      <c r="Q43" s="23">
        <f t="shared" si="1"/>
        <v>3300</v>
      </c>
      <c r="R43" s="24"/>
    </row>
    <row r="44" spans="1:18" ht="24" customHeight="1" x14ac:dyDescent="0.25">
      <c r="A44" s="1"/>
      <c r="B44" s="14" t="s">
        <v>62</v>
      </c>
      <c r="C44" s="12">
        <v>2576332247</v>
      </c>
      <c r="D44" s="8" t="s">
        <v>77</v>
      </c>
      <c r="E44" s="8" t="s">
        <v>83</v>
      </c>
      <c r="F44" s="30">
        <v>45443</v>
      </c>
      <c r="G44" s="18" t="s">
        <v>163</v>
      </c>
      <c r="H44" s="18" t="s">
        <v>170</v>
      </c>
      <c r="I44" s="8" t="s">
        <v>146</v>
      </c>
      <c r="J44" s="31">
        <v>547801313</v>
      </c>
      <c r="K44" s="25" t="s">
        <v>125</v>
      </c>
      <c r="L44" s="31">
        <v>21</v>
      </c>
      <c r="M44" s="21">
        <v>2000</v>
      </c>
      <c r="N44" s="22">
        <v>0</v>
      </c>
      <c r="O44" s="22">
        <v>0</v>
      </c>
      <c r="P44" s="12" t="s">
        <v>159</v>
      </c>
      <c r="Q44" s="23">
        <f t="shared" si="1"/>
        <v>2000</v>
      </c>
      <c r="R44" s="24"/>
    </row>
    <row r="45" spans="1:18" ht="24" customHeight="1" x14ac:dyDescent="0.25">
      <c r="A45" s="1"/>
      <c r="B45" s="14" t="s">
        <v>63</v>
      </c>
      <c r="C45" s="13">
        <v>1126762093</v>
      </c>
      <c r="D45" s="8" t="s">
        <v>77</v>
      </c>
      <c r="E45" s="11" t="s">
        <v>85</v>
      </c>
      <c r="F45" s="30">
        <v>46161</v>
      </c>
      <c r="G45" s="18" t="s">
        <v>163</v>
      </c>
      <c r="H45" s="18" t="s">
        <v>166</v>
      </c>
      <c r="I45" s="11" t="s">
        <v>158</v>
      </c>
      <c r="J45" s="13">
        <v>509914701</v>
      </c>
      <c r="K45" s="15" t="s">
        <v>184</v>
      </c>
      <c r="L45" s="31">
        <v>0</v>
      </c>
      <c r="M45" s="21">
        <v>3000</v>
      </c>
      <c r="N45" s="22">
        <v>1000</v>
      </c>
      <c r="O45" s="22">
        <v>0</v>
      </c>
      <c r="P45" s="12" t="s">
        <v>180</v>
      </c>
      <c r="Q45" s="23">
        <f t="shared" si="1"/>
        <v>4000</v>
      </c>
      <c r="R45" s="24"/>
    </row>
    <row r="46" spans="1:18" ht="24" customHeight="1" x14ac:dyDescent="0.25">
      <c r="A46" s="1"/>
      <c r="B46" s="14" t="s">
        <v>64</v>
      </c>
      <c r="C46" s="13">
        <v>1096901374</v>
      </c>
      <c r="D46" s="8" t="s">
        <v>77</v>
      </c>
      <c r="E46" s="11" t="s">
        <v>85</v>
      </c>
      <c r="F46" s="30">
        <v>46154</v>
      </c>
      <c r="G46" s="18" t="s">
        <v>163</v>
      </c>
      <c r="H46" s="18" t="s">
        <v>166</v>
      </c>
      <c r="I46" s="11" t="s">
        <v>158</v>
      </c>
      <c r="J46" s="13">
        <v>507412569</v>
      </c>
      <c r="K46" s="15" t="s">
        <v>185</v>
      </c>
      <c r="L46" s="31">
        <v>0</v>
      </c>
      <c r="M46" s="21">
        <v>3000</v>
      </c>
      <c r="N46" s="22">
        <v>1000</v>
      </c>
      <c r="O46" s="22">
        <v>0</v>
      </c>
      <c r="P46" s="12" t="s">
        <v>180</v>
      </c>
      <c r="Q46" s="23">
        <f t="shared" si="1"/>
        <v>4000</v>
      </c>
      <c r="R46" s="24"/>
    </row>
    <row r="47" spans="1:18" ht="24" customHeight="1" x14ac:dyDescent="0.25">
      <c r="A47" s="1"/>
      <c r="B47" s="14" t="s">
        <v>179</v>
      </c>
      <c r="C47" s="13">
        <v>2506283486</v>
      </c>
      <c r="D47" s="8" t="s">
        <v>77</v>
      </c>
      <c r="E47" s="32" t="s">
        <v>86</v>
      </c>
      <c r="F47" s="30">
        <v>44570</v>
      </c>
      <c r="G47" s="18" t="s">
        <v>161</v>
      </c>
      <c r="H47" s="18" t="s">
        <v>162</v>
      </c>
      <c r="I47" s="11" t="s">
        <v>153</v>
      </c>
      <c r="J47" s="13">
        <v>560014469</v>
      </c>
      <c r="K47" s="15" t="s">
        <v>181</v>
      </c>
      <c r="L47" s="31">
        <v>84</v>
      </c>
      <c r="M47" s="21">
        <v>1500</v>
      </c>
      <c r="N47" s="22">
        <v>0</v>
      </c>
      <c r="O47" s="22">
        <v>0</v>
      </c>
      <c r="P47" s="31">
        <v>200</v>
      </c>
      <c r="Q47" s="23">
        <f t="shared" si="1"/>
        <v>1700</v>
      </c>
      <c r="R47" s="24"/>
    </row>
    <row r="48" spans="1:18" ht="24" customHeight="1" x14ac:dyDescent="0.25">
      <c r="A48" s="1"/>
      <c r="B48" s="14" t="s">
        <v>65</v>
      </c>
      <c r="C48" s="42">
        <v>1067121598</v>
      </c>
      <c r="D48" s="10" t="s">
        <v>77</v>
      </c>
      <c r="E48" s="10" t="s">
        <v>85</v>
      </c>
      <c r="F48" s="17">
        <v>45946</v>
      </c>
      <c r="G48" s="18" t="s">
        <v>163</v>
      </c>
      <c r="H48" s="18" t="s">
        <v>19</v>
      </c>
      <c r="I48" s="10" t="s">
        <v>147</v>
      </c>
      <c r="J48" s="42">
        <v>558582223</v>
      </c>
      <c r="K48" s="26" t="s">
        <v>126</v>
      </c>
      <c r="L48" s="31">
        <v>21</v>
      </c>
      <c r="M48" s="21">
        <v>3000</v>
      </c>
      <c r="N48" s="27">
        <v>1000</v>
      </c>
      <c r="O48" s="27">
        <v>0</v>
      </c>
      <c r="P48" s="28">
        <v>0</v>
      </c>
      <c r="Q48" s="23">
        <f t="shared" si="1"/>
        <v>4000</v>
      </c>
      <c r="R48" s="24"/>
    </row>
    <row r="49" spans="1:18" ht="24" customHeight="1" x14ac:dyDescent="0.25">
      <c r="A49" s="1"/>
      <c r="B49" s="14" t="s">
        <v>66</v>
      </c>
      <c r="C49" s="12">
        <v>1087002117</v>
      </c>
      <c r="D49" s="8" t="s">
        <v>77</v>
      </c>
      <c r="E49" s="8" t="s">
        <v>85</v>
      </c>
      <c r="F49" s="17">
        <v>44590</v>
      </c>
      <c r="G49" s="18" t="s">
        <v>176</v>
      </c>
      <c r="H49" s="18" t="s">
        <v>166</v>
      </c>
      <c r="I49" s="8" t="s">
        <v>152</v>
      </c>
      <c r="J49" s="31">
        <v>552829665</v>
      </c>
      <c r="K49" s="25" t="s">
        <v>127</v>
      </c>
      <c r="L49" s="31">
        <v>84</v>
      </c>
      <c r="M49" s="21">
        <v>4000</v>
      </c>
      <c r="N49" s="22">
        <v>0</v>
      </c>
      <c r="O49" s="22">
        <v>0</v>
      </c>
      <c r="P49" s="21">
        <v>0</v>
      </c>
      <c r="Q49" s="23">
        <f t="shared" si="1"/>
        <v>4000</v>
      </c>
      <c r="R49" s="24"/>
    </row>
    <row r="50" spans="1:18" ht="24" customHeight="1" x14ac:dyDescent="0.25">
      <c r="A50" s="1"/>
      <c r="B50" s="14" t="s">
        <v>67</v>
      </c>
      <c r="C50" s="12">
        <v>2553883683</v>
      </c>
      <c r="D50" s="8" t="s">
        <v>77</v>
      </c>
      <c r="E50" s="8" t="s">
        <v>83</v>
      </c>
      <c r="F50" s="17">
        <v>45131</v>
      </c>
      <c r="G50" s="18" t="s">
        <v>161</v>
      </c>
      <c r="H50" s="18" t="s">
        <v>162</v>
      </c>
      <c r="I50" s="8" t="s">
        <v>154</v>
      </c>
      <c r="J50" s="31">
        <v>597287018</v>
      </c>
      <c r="K50" s="25" t="s">
        <v>128</v>
      </c>
      <c r="L50" s="31">
        <v>21</v>
      </c>
      <c r="M50" s="21">
        <v>2800</v>
      </c>
      <c r="N50" s="22">
        <v>0</v>
      </c>
      <c r="O50" s="22">
        <v>0</v>
      </c>
      <c r="P50" s="21">
        <v>0</v>
      </c>
      <c r="Q50" s="23">
        <f t="shared" si="1"/>
        <v>2800</v>
      </c>
      <c r="R50" s="24"/>
    </row>
    <row r="51" spans="1:18" ht="21.75" customHeight="1" x14ac:dyDescent="0.25">
      <c r="A51" s="1"/>
      <c r="B51" s="14" t="s">
        <v>68</v>
      </c>
      <c r="C51" s="31">
        <v>2523936157</v>
      </c>
      <c r="D51" s="8" t="s">
        <v>77</v>
      </c>
      <c r="E51" s="8" t="s">
        <v>80</v>
      </c>
      <c r="F51" s="17">
        <v>45145</v>
      </c>
      <c r="G51" s="18" t="s">
        <v>160</v>
      </c>
      <c r="H51" s="18" t="s">
        <v>160</v>
      </c>
      <c r="I51" s="8" t="s">
        <v>155</v>
      </c>
      <c r="J51" s="31">
        <v>566746821</v>
      </c>
      <c r="K51" s="25" t="s">
        <v>129</v>
      </c>
      <c r="L51" s="31">
        <v>0</v>
      </c>
      <c r="M51" s="21">
        <v>1800</v>
      </c>
      <c r="N51" s="22">
        <v>0</v>
      </c>
      <c r="O51" s="22">
        <v>0</v>
      </c>
      <c r="P51" s="21">
        <v>0</v>
      </c>
      <c r="Q51" s="23">
        <f t="shared" ref="Q51:Q58" si="2">IF(COUNT(M51:P51)=0,"",SUM(M51:P51))</f>
        <v>1800</v>
      </c>
      <c r="R51" s="24"/>
    </row>
    <row r="52" spans="1:18" ht="25.5" customHeight="1" x14ac:dyDescent="0.25">
      <c r="A52" s="1"/>
      <c r="B52" s="14" t="s">
        <v>69</v>
      </c>
      <c r="C52" s="31">
        <v>2634165951</v>
      </c>
      <c r="D52" s="8" t="s">
        <v>77</v>
      </c>
      <c r="E52" s="8" t="s">
        <v>83</v>
      </c>
      <c r="F52" s="17">
        <v>46099</v>
      </c>
      <c r="G52" s="18" t="s">
        <v>19</v>
      </c>
      <c r="H52" s="18" t="s">
        <v>177</v>
      </c>
      <c r="I52" s="8" t="s">
        <v>182</v>
      </c>
      <c r="J52" s="31">
        <v>505689024</v>
      </c>
      <c r="K52" s="25" t="s">
        <v>183</v>
      </c>
      <c r="L52" s="31">
        <v>0</v>
      </c>
      <c r="M52" s="21">
        <v>3000</v>
      </c>
      <c r="N52" s="22">
        <v>1000</v>
      </c>
      <c r="O52" s="22">
        <v>0</v>
      </c>
      <c r="P52" s="21">
        <v>0</v>
      </c>
      <c r="Q52" s="23">
        <v>4000</v>
      </c>
      <c r="R52" s="24"/>
    </row>
    <row r="53" spans="1:18" ht="22.5" customHeight="1" x14ac:dyDescent="0.25">
      <c r="A53" s="1"/>
      <c r="B53" s="14" t="s">
        <v>70</v>
      </c>
      <c r="C53" s="12">
        <v>2532227648</v>
      </c>
      <c r="D53" s="8" t="s">
        <v>77</v>
      </c>
      <c r="E53" s="8" t="s">
        <v>83</v>
      </c>
      <c r="F53" s="17">
        <v>44865</v>
      </c>
      <c r="G53" s="18" t="s">
        <v>161</v>
      </c>
      <c r="H53" s="18" t="s">
        <v>162</v>
      </c>
      <c r="I53" s="8" t="s">
        <v>146</v>
      </c>
      <c r="J53" s="31">
        <v>550843692</v>
      </c>
      <c r="K53" s="25" t="s">
        <v>130</v>
      </c>
      <c r="L53" s="31">
        <v>0</v>
      </c>
      <c r="M53" s="21">
        <v>2000</v>
      </c>
      <c r="N53" s="22">
        <v>0</v>
      </c>
      <c r="O53" s="22">
        <v>0</v>
      </c>
      <c r="P53" s="21">
        <v>0</v>
      </c>
      <c r="Q53" s="23">
        <f t="shared" si="2"/>
        <v>2000</v>
      </c>
      <c r="R53" s="24"/>
    </row>
    <row r="54" spans="1:18" ht="23.25" customHeight="1" x14ac:dyDescent="0.25">
      <c r="A54" s="1"/>
      <c r="B54" s="14" t="s">
        <v>71</v>
      </c>
      <c r="C54" s="12">
        <v>1074201359</v>
      </c>
      <c r="D54" s="8" t="s">
        <v>78</v>
      </c>
      <c r="E54" s="8" t="s">
        <v>79</v>
      </c>
      <c r="F54" s="17">
        <v>45343</v>
      </c>
      <c r="G54" s="18" t="s">
        <v>19</v>
      </c>
      <c r="H54" s="18" t="s">
        <v>165</v>
      </c>
      <c r="I54" s="8" t="s">
        <v>156</v>
      </c>
      <c r="J54" s="31">
        <v>582052993</v>
      </c>
      <c r="K54" s="25" t="s">
        <v>131</v>
      </c>
      <c r="L54" s="31">
        <v>42</v>
      </c>
      <c r="M54" s="21">
        <v>4000</v>
      </c>
      <c r="N54" s="22">
        <v>0</v>
      </c>
      <c r="O54" s="22">
        <v>0</v>
      </c>
      <c r="P54" s="21">
        <v>0</v>
      </c>
      <c r="Q54" s="23">
        <f t="shared" si="2"/>
        <v>4000</v>
      </c>
      <c r="R54" s="24"/>
    </row>
    <row r="55" spans="1:18" ht="21" customHeight="1" x14ac:dyDescent="0.25">
      <c r="A55" s="1"/>
      <c r="B55" s="14" t="s">
        <v>72</v>
      </c>
      <c r="C55" s="31">
        <v>1125621555</v>
      </c>
      <c r="D55" s="8" t="s">
        <v>77</v>
      </c>
      <c r="E55" s="8" t="s">
        <v>85</v>
      </c>
      <c r="F55" s="17">
        <v>46236</v>
      </c>
      <c r="G55" s="18" t="s">
        <v>161</v>
      </c>
      <c r="H55" s="18" t="s">
        <v>167</v>
      </c>
      <c r="I55" s="8" t="s">
        <v>150</v>
      </c>
      <c r="J55" s="31">
        <v>564851228</v>
      </c>
      <c r="K55" s="25" t="s">
        <v>186</v>
      </c>
      <c r="L55" s="31">
        <v>0</v>
      </c>
      <c r="M55" s="21">
        <v>3000</v>
      </c>
      <c r="N55" s="22">
        <v>1000</v>
      </c>
      <c r="O55" s="22">
        <v>0</v>
      </c>
      <c r="P55" s="21">
        <v>0</v>
      </c>
      <c r="Q55" s="23">
        <f t="shared" si="2"/>
        <v>4000</v>
      </c>
      <c r="R55" s="24"/>
    </row>
    <row r="56" spans="1:18" ht="18.75" customHeight="1" x14ac:dyDescent="0.25">
      <c r="A56" s="1"/>
      <c r="B56" s="14" t="s">
        <v>73</v>
      </c>
      <c r="C56" s="12">
        <v>2597519772</v>
      </c>
      <c r="D56" s="8" t="s">
        <v>77</v>
      </c>
      <c r="E56" s="8" t="s">
        <v>84</v>
      </c>
      <c r="F56" s="17">
        <v>45644</v>
      </c>
      <c r="G56" s="18" t="s">
        <v>161</v>
      </c>
      <c r="H56" s="18" t="s">
        <v>164</v>
      </c>
      <c r="I56" s="8" t="s">
        <v>157</v>
      </c>
      <c r="J56" s="31">
        <v>503318274</v>
      </c>
      <c r="K56" s="25" t="s">
        <v>132</v>
      </c>
      <c r="L56" s="31">
        <v>0</v>
      </c>
      <c r="M56" s="21">
        <v>1800</v>
      </c>
      <c r="N56" s="22">
        <v>0</v>
      </c>
      <c r="O56" s="22">
        <v>0</v>
      </c>
      <c r="P56" s="21">
        <v>0</v>
      </c>
      <c r="Q56" s="23">
        <f t="shared" si="2"/>
        <v>1800</v>
      </c>
      <c r="R56" s="24"/>
    </row>
    <row r="57" spans="1:18" ht="18.75" customHeight="1" x14ac:dyDescent="0.25">
      <c r="A57" s="1"/>
      <c r="B57" s="14" t="s">
        <v>74</v>
      </c>
      <c r="C57" s="12">
        <v>2532635758</v>
      </c>
      <c r="D57" s="8" t="s">
        <v>77</v>
      </c>
      <c r="E57" s="8" t="s">
        <v>83</v>
      </c>
      <c r="F57" s="17">
        <v>44870</v>
      </c>
      <c r="G57" s="18" t="s">
        <v>161</v>
      </c>
      <c r="H57" s="18" t="s">
        <v>162</v>
      </c>
      <c r="I57" s="8" t="s">
        <v>137</v>
      </c>
      <c r="J57" s="31">
        <v>582413752</v>
      </c>
      <c r="K57" s="25" t="s">
        <v>133</v>
      </c>
      <c r="L57" s="31">
        <v>21</v>
      </c>
      <c r="M57" s="21">
        <v>2300</v>
      </c>
      <c r="N57" s="22">
        <v>0</v>
      </c>
      <c r="O57" s="22">
        <v>0</v>
      </c>
      <c r="P57" s="21">
        <v>0</v>
      </c>
      <c r="Q57" s="23">
        <f t="shared" si="2"/>
        <v>2300</v>
      </c>
      <c r="R57" s="24"/>
    </row>
    <row r="58" spans="1:18" ht="21" customHeight="1" x14ac:dyDescent="0.25">
      <c r="A58" s="1"/>
      <c r="B58" s="14" t="s">
        <v>75</v>
      </c>
      <c r="C58" s="31">
        <v>1104736580</v>
      </c>
      <c r="D58" s="8" t="s">
        <v>78</v>
      </c>
      <c r="E58" s="8" t="s">
        <v>79</v>
      </c>
      <c r="F58" s="17">
        <v>45204</v>
      </c>
      <c r="G58" s="18" t="s">
        <v>163</v>
      </c>
      <c r="H58" s="18" t="s">
        <v>166</v>
      </c>
      <c r="I58" s="8" t="s">
        <v>158</v>
      </c>
      <c r="J58" s="31">
        <v>503268995</v>
      </c>
      <c r="K58" s="25" t="s">
        <v>134</v>
      </c>
      <c r="L58" s="31">
        <v>27</v>
      </c>
      <c r="M58" s="21">
        <v>4000</v>
      </c>
      <c r="N58" s="22">
        <v>0</v>
      </c>
      <c r="O58" s="22">
        <v>0</v>
      </c>
      <c r="P58" s="12" t="s">
        <v>159</v>
      </c>
      <c r="Q58" s="23">
        <f t="shared" si="2"/>
        <v>4000</v>
      </c>
      <c r="R58" s="24"/>
    </row>
    <row r="59" spans="1:18" ht="21" customHeight="1" x14ac:dyDescent="0.25">
      <c r="A59" s="1"/>
      <c r="B59" s="37" t="s">
        <v>189</v>
      </c>
      <c r="C59" s="31">
        <v>1118810322</v>
      </c>
      <c r="D59" s="8" t="s">
        <v>78</v>
      </c>
      <c r="E59" s="8" t="s">
        <v>79</v>
      </c>
      <c r="F59" s="38">
        <v>46260</v>
      </c>
      <c r="G59" s="18" t="s">
        <v>161</v>
      </c>
      <c r="H59" s="18" t="s">
        <v>173</v>
      </c>
      <c r="I59" s="36" t="s">
        <v>190</v>
      </c>
      <c r="J59" s="31">
        <v>505944858</v>
      </c>
      <c r="K59" s="25" t="s">
        <v>192</v>
      </c>
      <c r="L59" s="31">
        <v>0</v>
      </c>
      <c r="M59" s="21">
        <v>3000</v>
      </c>
      <c r="N59" s="39">
        <v>1000</v>
      </c>
      <c r="O59" s="34">
        <v>0</v>
      </c>
      <c r="P59" s="35">
        <v>0</v>
      </c>
      <c r="Q59" s="23">
        <f>IF(COUNT(M59:P59)=0,"",SUM(M59:P59))</f>
        <v>4000</v>
      </c>
      <c r="R59" s="24"/>
    </row>
    <row r="60" spans="1:18" ht="18.75" customHeight="1" x14ac:dyDescent="0.25">
      <c r="A60" s="1"/>
      <c r="B60" s="37" t="s">
        <v>187</v>
      </c>
      <c r="C60" s="40">
        <v>1127113163</v>
      </c>
      <c r="D60" s="36" t="s">
        <v>77</v>
      </c>
      <c r="E60" s="36" t="s">
        <v>85</v>
      </c>
      <c r="F60" s="38">
        <v>46079</v>
      </c>
      <c r="G60" s="18" t="s">
        <v>161</v>
      </c>
      <c r="H60" s="18" t="s">
        <v>173</v>
      </c>
      <c r="I60" s="36" t="s">
        <v>188</v>
      </c>
      <c r="J60" s="31">
        <v>532848511</v>
      </c>
      <c r="K60" s="25" t="s">
        <v>191</v>
      </c>
      <c r="L60" s="31">
        <v>0</v>
      </c>
      <c r="M60" s="21">
        <v>3000</v>
      </c>
      <c r="N60" s="39">
        <v>1000</v>
      </c>
      <c r="O60" s="34">
        <v>0</v>
      </c>
      <c r="P60" s="35">
        <v>0</v>
      </c>
      <c r="Q60" s="23">
        <f>IF(COUNT(M60:P60)=0,"",SUM(M60:P60))</f>
        <v>4000</v>
      </c>
      <c r="R60" s="24"/>
    </row>
    <row r="61" spans="1:18" ht="21" customHeight="1" x14ac:dyDescent="0.25">
      <c r="A61" s="1"/>
      <c r="B61" s="14"/>
      <c r="C61" s="12"/>
      <c r="D61" s="8"/>
      <c r="E61" s="8"/>
      <c r="F61" s="17"/>
      <c r="G61" s="18"/>
      <c r="H61" s="18"/>
      <c r="I61" s="8"/>
      <c r="J61" s="12"/>
      <c r="K61" s="25"/>
      <c r="L61" s="20"/>
      <c r="M61" s="31"/>
      <c r="N61" s="22"/>
      <c r="O61" s="22"/>
      <c r="P61" s="12"/>
      <c r="Q61" s="41"/>
      <c r="R61" s="24"/>
    </row>
  </sheetData>
  <mergeCells count="2">
    <mergeCell ref="A1:R1"/>
    <mergeCell ref="A2:L2"/>
  </mergeCells>
  <phoneticPr fontId="6" type="noConversion"/>
  <dataValidations count="1">
    <dataValidation type="list" allowBlank="1" showInputMessage="1" showErrorMessage="1" sqref="D4:D60">
      <formula1>"ذكر,أنثى"</formula1>
    </dataValidation>
  </dataValidations>
  <hyperlinks>
    <hyperlink ref="K4" r:id="rId1"/>
    <hyperlink ref="K5" r:id="rId2"/>
    <hyperlink ref="K6" r:id="rId3"/>
    <hyperlink ref="K7" r:id="rId4"/>
    <hyperlink ref="K8" r:id="rId5"/>
    <hyperlink ref="K9" r:id="rId6"/>
    <hyperlink ref="K10" r:id="rId7"/>
    <hyperlink ref="K11" r:id="rId8"/>
    <hyperlink ref="K12" r:id="rId9"/>
    <hyperlink ref="K14" r:id="rId10"/>
    <hyperlink ref="K15" r:id="rId11"/>
    <hyperlink ref="K16" r:id="rId12"/>
    <hyperlink ref="K17" r:id="rId13"/>
    <hyperlink ref="K18" r:id="rId14"/>
    <hyperlink ref="K20" r:id="rId15"/>
    <hyperlink ref="K21" r:id="rId16"/>
    <hyperlink ref="K22" r:id="rId17"/>
    <hyperlink ref="K23" r:id="rId18"/>
    <hyperlink ref="K24" r:id="rId19"/>
    <hyperlink ref="K25" r:id="rId20"/>
    <hyperlink ref="K26" r:id="rId21"/>
    <hyperlink ref="K27" r:id="rId22"/>
    <hyperlink ref="K28" r:id="rId23"/>
    <hyperlink ref="K29" r:id="rId24"/>
    <hyperlink ref="K30" r:id="rId25"/>
    <hyperlink ref="K31" r:id="rId26"/>
    <hyperlink ref="K32" r:id="rId27"/>
    <hyperlink ref="K33" r:id="rId28"/>
    <hyperlink ref="K34" r:id="rId29"/>
    <hyperlink ref="K35" r:id="rId30"/>
    <hyperlink ref="K36" r:id="rId31"/>
    <hyperlink ref="K37" r:id="rId32"/>
    <hyperlink ref="K38" r:id="rId33"/>
    <hyperlink ref="K39" r:id="rId34"/>
    <hyperlink ref="K40" r:id="rId35"/>
    <hyperlink ref="K41" r:id="rId36"/>
    <hyperlink ref="K42" r:id="rId37"/>
    <hyperlink ref="K43" r:id="rId38"/>
    <hyperlink ref="K44" r:id="rId39"/>
    <hyperlink ref="K49" r:id="rId40"/>
    <hyperlink ref="K53" r:id="rId41"/>
    <hyperlink ref="K57" r:id="rId42"/>
    <hyperlink ref="K58" r:id="rId43"/>
    <hyperlink ref="K56" r:id="rId44"/>
    <hyperlink ref="K19" r:id="rId45"/>
    <hyperlink ref="K48" r:id="rId46"/>
    <hyperlink ref="K47" r:id="rId47"/>
    <hyperlink ref="K52" r:id="rId48"/>
    <hyperlink ref="K45" r:id="rId49"/>
    <hyperlink ref="K46" r:id="rId50"/>
    <hyperlink ref="K55" r:id="rId51"/>
    <hyperlink ref="K60" r:id="rId52"/>
    <hyperlink ref="K59" r:id="rId53"/>
  </hyperlinks>
  <pageMargins left="0.7" right="0.7" top="0.75" bottom="0.75" header="0.3" footer="0.3"/>
  <pageSetup paperSize="9" scale="22" orientation="portrait" verticalDpi="0" r:id="rId54"/>
  <tableParts count="1">
    <tablePart r:id="rId5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بيانات الموظفين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 CONSULTANT</dc:creator>
  <cp:lastModifiedBy>SHAMA</cp:lastModifiedBy>
  <cp:lastPrinted>2026-10-11T07:07:33Z</cp:lastPrinted>
  <dcterms:created xsi:type="dcterms:W3CDTF">2015-06-05T18:17:20Z</dcterms:created>
  <dcterms:modified xsi:type="dcterms:W3CDTF">2026-10-15T08:25:45Z</dcterms:modified>
</cp:coreProperties>
</file>