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lnwa\Downloads\"/>
    </mc:Choice>
  </mc:AlternateContent>
  <xr:revisionPtr revIDLastSave="0" documentId="13_ncr:1_{2A0FE518-D46C-45C4-A824-9C50F4E10D9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بيانات الموظفين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59" i="1"/>
  <c r="Q60" i="1"/>
  <c r="Q51" i="1" l="1"/>
  <c r="Q53" i="1"/>
  <c r="Q54" i="1"/>
  <c r="Q55" i="1"/>
  <c r="Q56" i="1"/>
  <c r="Q57" i="1"/>
  <c r="Q58" i="1"/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LABOR CONSULTANT</author>
  </authors>
  <commentList>
    <comment ref="S3" authorId="0" shapeId="0" xr:uid="{DECD0E67-F783-4BA7-AC69-74E66B93499B}">
      <text>
        <r>
          <rPr>
            <b/>
            <sz val="9"/>
            <color indexed="81"/>
            <rFont val="Tahoma"/>
            <charset val="178"/>
          </rPr>
          <t>LABOR CONSULTANT:</t>
        </r>
        <r>
          <rPr>
            <sz val="9"/>
            <color indexed="81"/>
            <rFont val="Tahoma"/>
            <charset val="178"/>
          </rPr>
          <t xml:space="preserve">
مصدر البيانات: الملف المرفق «المقيمين النشطين10_5_2026.xlsx». المطابقة الحصرية بين رقم الهوية في هذه الورقة ورقم الإقامة في المرفق. تاريخ انتهاء الإقامة كما ورد في المصدر؛ الخلية فارغة للسجلات غير المطابقة.</t>
        </r>
      </text>
    </comment>
  </commentList>
</comments>
</file>

<file path=xl/sharedStrings.xml><?xml version="1.0" encoding="utf-8"?>
<sst xmlns="http://schemas.openxmlformats.org/spreadsheetml/2006/main" count="809" uniqueCount="358">
  <si>
    <t>سجل بيانات الموظفين</t>
  </si>
  <si>
    <t>الرقم الوظيفي</t>
  </si>
  <si>
    <t>الاسم</t>
  </si>
  <si>
    <t>رقم الهوية</t>
  </si>
  <si>
    <t>الجنس</t>
  </si>
  <si>
    <t>الجنسية</t>
  </si>
  <si>
    <t>تاريخ التعيين</t>
  </si>
  <si>
    <t>رقم الجوال</t>
  </si>
  <si>
    <t>الإيميل</t>
  </si>
  <si>
    <t>رصيد الإجازات الحالي</t>
  </si>
  <si>
    <t>الراتب الأساسي</t>
  </si>
  <si>
    <t>بدل السكن</t>
  </si>
  <si>
    <t>بدل المواصلات</t>
  </si>
  <si>
    <t>بدلات أخرى</t>
  </si>
  <si>
    <t>الإجمالي</t>
  </si>
  <si>
    <t>رقم الآيبان</t>
  </si>
  <si>
    <t>عدد الموظفين</t>
  </si>
  <si>
    <t>إجمالي الرواتب</t>
  </si>
  <si>
    <t>المسمى الوظيفي</t>
  </si>
  <si>
    <t>الإدارة</t>
  </si>
  <si>
    <t>القسم</t>
  </si>
  <si>
    <t xml:space="preserve">                                                                                                                                                                                           أدخل بيانات الموظفين في الصفوف التالية؛ إجمالي الراتب يُحسب تلقائيًا من الأساسي والبدلات.</t>
  </si>
  <si>
    <t>شامة علي  محمد عسيري</t>
  </si>
  <si>
    <t>شاكر الله بوتاي</t>
  </si>
  <si>
    <t>صلاح محمد علي طاهر</t>
  </si>
  <si>
    <t>لوك بهادور رانا</t>
  </si>
  <si>
    <t>علي رياض محمد</t>
  </si>
  <si>
    <t>محمد أمين عبدالصادق</t>
  </si>
  <si>
    <t>شهيد منظور</t>
  </si>
  <si>
    <t>تيك بهادور كامي</t>
  </si>
  <si>
    <t>عرفان رضا عيشه علي</t>
  </si>
  <si>
    <t>مفرح يحي محمد معشي</t>
  </si>
  <si>
    <t>حسن محمود بدر</t>
  </si>
  <si>
    <t>فاطمة محمد علي المغيدي</t>
  </si>
  <si>
    <t>هاشم حسين أحمد العطاس</t>
  </si>
  <si>
    <t>اعمار شاهزاد خان</t>
  </si>
  <si>
    <t>عبدالرحمن خان شيرواني</t>
  </si>
  <si>
    <t>احمد عبدالرحمن علي يعن الله</t>
  </si>
  <si>
    <t>شمسر آلام دوست محمد</t>
  </si>
  <si>
    <t>راجيش شيخ</t>
  </si>
  <si>
    <t>عزت محمد سعد عزه</t>
  </si>
  <si>
    <t>عبدالرحمن جابر مفرح عسيري</t>
  </si>
  <si>
    <t>خالد احمد محمد راعي</t>
  </si>
  <si>
    <t>بورنا بهادور علي</t>
  </si>
  <si>
    <t>غوبال كومار مومهال</t>
  </si>
  <si>
    <t>السيد ابراهيم السيد مسعود</t>
  </si>
  <si>
    <t>طه عبده سيف خالد</t>
  </si>
  <si>
    <t>بيجيد شيتول مياه</t>
  </si>
  <si>
    <t>مانجيت كومار</t>
  </si>
  <si>
    <t xml:space="preserve">جهرل حق عباس </t>
  </si>
  <si>
    <t>كرينا بهادور دالا</t>
  </si>
  <si>
    <t>عبدالاحد</t>
  </si>
  <si>
    <t>مير اوسين</t>
  </si>
  <si>
    <t>ديف بهادور ثادا</t>
  </si>
  <si>
    <t>احمد محمد احمد النجار</t>
  </si>
  <si>
    <t>سامي عبدالله احمد باعمران</t>
  </si>
  <si>
    <t>راسل مياه نوبي</t>
  </si>
  <si>
    <t>اشيش ماندال</t>
  </si>
  <si>
    <t>منال سعيد حسن الاصلعي</t>
  </si>
  <si>
    <t>محمد شريف حسين</t>
  </si>
  <si>
    <t>مد شكيل</t>
  </si>
  <si>
    <t>محمد شاكر البهنسي النجار</t>
  </si>
  <si>
    <t>محمد حلمي محمد رحاب</t>
  </si>
  <si>
    <t>معدي موسى محمد عسيري</t>
  </si>
  <si>
    <t>محمد ناصر محمد آل مريع</t>
  </si>
  <si>
    <t>علي سعد حسين البشري</t>
  </si>
  <si>
    <t>زايد يحيى محمد معوض</t>
  </si>
  <si>
    <t>مؤمن جابر عطيت الله</t>
  </si>
  <si>
    <t>شافي الله عبد الخالق</t>
  </si>
  <si>
    <t>محمد صالح مهدي الدكاني</t>
  </si>
  <si>
    <t>عصام جابر النجيلي عبده</t>
  </si>
  <si>
    <t>عهود سعيد محمد</t>
  </si>
  <si>
    <t>مشعل عبدالرحمن علي يعن الله</t>
  </si>
  <si>
    <t>دلشاد أنصاري</t>
  </si>
  <si>
    <t>علي احمد علي عبداللطيف</t>
  </si>
  <si>
    <t>لينا عيد ناصر قبطي</t>
  </si>
  <si>
    <t>انثى</t>
  </si>
  <si>
    <t>ذكر</t>
  </si>
  <si>
    <t>أنثى</t>
  </si>
  <si>
    <t>سعودية</t>
  </si>
  <si>
    <t>باكستاني</t>
  </si>
  <si>
    <t>يمني</t>
  </si>
  <si>
    <t>نيبالي</t>
  </si>
  <si>
    <t>مصري</t>
  </si>
  <si>
    <t>هندي</t>
  </si>
  <si>
    <t>سعودي</t>
  </si>
  <si>
    <t>بنجلاديشي</t>
  </si>
  <si>
    <t>shamaalimohd@gmail.com</t>
  </si>
  <si>
    <t>shakirullahx99@gmail.com</t>
  </si>
  <si>
    <t>hyy93882@gmail.com</t>
  </si>
  <si>
    <t>Ar7546090@gmail.com</t>
  </si>
  <si>
    <t>ma3586482@gmail.com</t>
  </si>
  <si>
    <t>hajishahid556@gmail.com</t>
  </si>
  <si>
    <t>ttak11224@gmail.com</t>
  </si>
  <si>
    <t>lab40625@gmail.com</t>
  </si>
  <si>
    <t>abobadeer196@gmail.com</t>
  </si>
  <si>
    <t>jooary1410@icloud.com</t>
  </si>
  <si>
    <t>hashm053618@gmail.com</t>
  </si>
  <si>
    <t>amir2071985@gmail.com</t>
  </si>
  <si>
    <t>abdulrehmanmani223@gmail.com</t>
  </si>
  <si>
    <t>yanallahahmad@gmail.com</t>
  </si>
  <si>
    <t>shamsheralamshamsher744@gmail.com</t>
  </si>
  <si>
    <t>skr183660@gmail.com</t>
  </si>
  <si>
    <t>ezzatmohammad77@gmail.com</t>
  </si>
  <si>
    <t>jabr60601@gmail.com</t>
  </si>
  <si>
    <t>khalidraii66@gmail.com</t>
  </si>
  <si>
    <t>purnaalemagar87@gmail.com</t>
  </si>
  <si>
    <t>gobalk711@gmail.com</t>
  </si>
  <si>
    <t>alsydkshksh@gmail.com</t>
  </si>
  <si>
    <t>715taha715taha715@gmail.com</t>
  </si>
  <si>
    <t>bayezidbayezid999@gmail.com</t>
  </si>
  <si>
    <t>manjitkumarsada2000@gmail.com</t>
  </si>
  <si>
    <t>hoquesk868@gmail.com</t>
  </si>
  <si>
    <t>km7505079@gmail.com</t>
  </si>
  <si>
    <t>sakilahmed3050509@gmail.com</t>
  </si>
  <si>
    <t>mirhosen328@gmail.com</t>
  </si>
  <si>
    <t>dev841833@gmail.com</t>
  </si>
  <si>
    <t>ahmedelngar@gmail.com</t>
  </si>
  <si>
    <t>sami71242@gmail.com</t>
  </si>
  <si>
    <t>rasal9717@gmail.com</t>
  </si>
  <si>
    <t>aashismandal51@gmail.com</t>
  </si>
  <si>
    <t>haiati.sft123@gmail.com</t>
  </si>
  <si>
    <t>sujon159293@gmail.com</t>
  </si>
  <si>
    <t>mdshakilkhalifa95@gmail.com</t>
  </si>
  <si>
    <t>moshaker686@gmail.com</t>
  </si>
  <si>
    <t>helmymo505@gmail.com</t>
  </si>
  <si>
    <t>albishri900@gmail.com</t>
  </si>
  <si>
    <t>zayed29665@gmail.com</t>
  </si>
  <si>
    <t>nomen0777@gmail.com</t>
  </si>
  <si>
    <t>shafeeu770@gmail.com</t>
  </si>
  <si>
    <t>essamgaber44abdo@gmail.com</t>
  </si>
  <si>
    <t>ohood750750@gmail.com</t>
  </si>
  <si>
    <t>dilshad9369222419@gmail.com</t>
  </si>
  <si>
    <t>ali.mligy77@gmail.com</t>
  </si>
  <si>
    <t>l.alhmdan19@gmail.com</t>
  </si>
  <si>
    <t>موظفة موارد بشرية</t>
  </si>
  <si>
    <t>عامل تحميل وتنزيل</t>
  </si>
  <si>
    <t>خباز</t>
  </si>
  <si>
    <t>مدخل بيانات</t>
  </si>
  <si>
    <t>عامل تعبئة رفوف</t>
  </si>
  <si>
    <t>عامل انشاءات</t>
  </si>
  <si>
    <t>عامل حفظ فواكه وخضروات</t>
  </si>
  <si>
    <t>عامل كاونتر مأكولات ومشروبات</t>
  </si>
  <si>
    <t>صانع معجنات</t>
  </si>
  <si>
    <t>بائعة بسطة</t>
  </si>
  <si>
    <t>عامل معماري</t>
  </si>
  <si>
    <t>عامل تعبئة وتغليف</t>
  </si>
  <si>
    <t>مشرف</t>
  </si>
  <si>
    <t>حداد أبواب معدنية</t>
  </si>
  <si>
    <t>مهندس مدني</t>
  </si>
  <si>
    <t>بائع خضار</t>
  </si>
  <si>
    <t>مشرف مكتب</t>
  </si>
  <si>
    <t>حارس أمن</t>
  </si>
  <si>
    <t>عامل تنظيف مكاتب ومنشآت</t>
  </si>
  <si>
    <t>صانع حلويات</t>
  </si>
  <si>
    <t>عامل بناء</t>
  </si>
  <si>
    <t>كاتب موارد بشرية</t>
  </si>
  <si>
    <t>عامل مخزن</t>
  </si>
  <si>
    <t>بائع</t>
  </si>
  <si>
    <t>0.00</t>
  </si>
  <si>
    <t>المقاولات</t>
  </si>
  <si>
    <t>سيتي بارك</t>
  </si>
  <si>
    <t>المخبز</t>
  </si>
  <si>
    <t>حي الموظفين</t>
  </si>
  <si>
    <t>المستودع الفرعي</t>
  </si>
  <si>
    <t>الموارد البشرية</t>
  </si>
  <si>
    <t>الصالة</t>
  </si>
  <si>
    <t>الخضار</t>
  </si>
  <si>
    <t>البوفيه</t>
  </si>
  <si>
    <t>مجمع وسط البلد</t>
  </si>
  <si>
    <t>البسطة</t>
  </si>
  <si>
    <t>المفاولات</t>
  </si>
  <si>
    <t>الهندسية</t>
  </si>
  <si>
    <t>محطة المرح</t>
  </si>
  <si>
    <t>الخزنة</t>
  </si>
  <si>
    <t>النظافة</t>
  </si>
  <si>
    <t>الحبيل</t>
  </si>
  <si>
    <t>تقنية المعلومات</t>
  </si>
  <si>
    <t>التعقيب</t>
  </si>
  <si>
    <t>مد زكريا بي مد</t>
  </si>
  <si>
    <t>0</t>
  </si>
  <si>
    <t>0faruk2050@gmail.com</t>
  </si>
  <si>
    <t>محلل شبكات</t>
  </si>
  <si>
    <t>mohamedsalehmahdy@hotmail.com</t>
  </si>
  <si>
    <t>svrymdy470@gmail.com</t>
  </si>
  <si>
    <t>moraya999@icloud.com</t>
  </si>
  <si>
    <t>mshlb0441@gmail.com</t>
  </si>
  <si>
    <t>ريان يحي عبدالله</t>
  </si>
  <si>
    <t>بائع تذاكر</t>
  </si>
  <si>
    <t>عبير سعيد علي الأحمري</t>
  </si>
  <si>
    <t>بائعة تذاكر</t>
  </si>
  <si>
    <t>rayana019283@icloud.com</t>
  </si>
  <si>
    <t>r02ee@hotmail.com</t>
  </si>
  <si>
    <t>mha74756@gmail.com</t>
  </si>
  <si>
    <t>bintaher2@hotmail.com</t>
  </si>
  <si>
    <t>سميه سالم يحيى الفيفي</t>
  </si>
  <si>
    <t>1072664301</t>
  </si>
  <si>
    <t>سعوديه</t>
  </si>
  <si>
    <t>537930567</t>
  </si>
  <si>
    <t>somayah.salem@jalmajd.com</t>
  </si>
  <si>
    <t>محمد شعبان حسن زوين</t>
  </si>
  <si>
    <t>2241107396</t>
  </si>
  <si>
    <t>الماليه</t>
  </si>
  <si>
    <t>محاسب</t>
  </si>
  <si>
    <t>506894796</t>
  </si>
  <si>
    <t>ms.zwin85@gmail.com</t>
  </si>
  <si>
    <t>مصطفى مجدى مصطفى العادلى</t>
  </si>
  <si>
    <t>2241107842</t>
  </si>
  <si>
    <t>507912397</t>
  </si>
  <si>
    <t>lego2012@icloud.com</t>
  </si>
  <si>
    <t>يعقوب باشا شيخ حسين</t>
  </si>
  <si>
    <t>2304330885</t>
  </si>
  <si>
    <t>الصاله</t>
  </si>
  <si>
    <t>محاسب زبائن</t>
  </si>
  <si>
    <t>553442190</t>
  </si>
  <si>
    <t>ahmedzain@gmail.com</t>
  </si>
  <si>
    <t>هاني عبدالله - عبدالكريم</t>
  </si>
  <si>
    <t>2064427269</t>
  </si>
  <si>
    <t>المشتريات</t>
  </si>
  <si>
    <t>مندوب مشتريات</t>
  </si>
  <si>
    <t>502050504</t>
  </si>
  <si>
    <t>hani11479@gmail.com</t>
  </si>
  <si>
    <t>ناشيك علي عظيم</t>
  </si>
  <si>
    <t>2301580466</t>
  </si>
  <si>
    <t>533670061</t>
  </si>
  <si>
    <t>anasiak316@gmail.com</t>
  </si>
  <si>
    <t>فهمي سالم عبيد باعمير</t>
  </si>
  <si>
    <t>2273877585</t>
  </si>
  <si>
    <t>اليمن</t>
  </si>
  <si>
    <t>النظافه</t>
  </si>
  <si>
    <t>مشرف صيانه</t>
  </si>
  <si>
    <t>Bamyr312@gmail.com</t>
  </si>
  <si>
    <t>بريم بهادور بلال بهادور</t>
  </si>
  <si>
    <t>2256690906</t>
  </si>
  <si>
    <t>نيبال</t>
  </si>
  <si>
    <t>المنسك</t>
  </si>
  <si>
    <t>balalprem44@gmail.com</t>
  </si>
  <si>
    <t>ناباب خان</t>
  </si>
  <si>
    <t>2577378348</t>
  </si>
  <si>
    <t>السوق</t>
  </si>
  <si>
    <t>سائق سيارة</t>
  </si>
  <si>
    <t>506450714</t>
  </si>
  <si>
    <t>nababkhan1925@gmail.com</t>
  </si>
  <si>
    <t>عبد الله محمد سالم طرشوم</t>
  </si>
  <si>
    <t>محايل</t>
  </si>
  <si>
    <t>مجمد مواد غذائية</t>
  </si>
  <si>
    <t>a0538834853@gmail.com</t>
  </si>
  <si>
    <t>دل بهادر رسمي مقار</t>
  </si>
  <si>
    <t>صانع حلويات عام</t>
  </si>
  <si>
    <t>Dal654578@gmail.com</t>
  </si>
  <si>
    <t>بادام بهادور كاسو بهادور</t>
  </si>
  <si>
    <t>خباز عام</t>
  </si>
  <si>
    <t>Pdam7417@gmail.com</t>
  </si>
  <si>
    <t>جون بهادور رانا</t>
  </si>
  <si>
    <t>gunr963@gmail.com</t>
  </si>
  <si>
    <t>جهامان سينغ رانا</t>
  </si>
  <si>
    <t>Jhaman@058 gmail.com</t>
  </si>
  <si>
    <t>فازا علي</t>
  </si>
  <si>
    <t>Robinkhan828200@gmail.com</t>
  </si>
  <si>
    <t>مصظفى محمود احمد مصطفى</t>
  </si>
  <si>
    <t>mostafaelhalwany21@gmail.com</t>
  </si>
  <si>
    <t>جونيد شادان محمد</t>
  </si>
  <si>
    <t>junaidjunaidshadal@gmail.com</t>
  </si>
  <si>
    <t>ابو الحجاج على حجاج</t>
  </si>
  <si>
    <t>Hagagalia90@gmail.com</t>
  </si>
  <si>
    <t>محمد رونى ميا محمد</t>
  </si>
  <si>
    <t>mdrohyshakder79@gmail.com</t>
  </si>
  <si>
    <t>هاني علي شامي عسيري</t>
  </si>
  <si>
    <t>hany819000@gmail.com</t>
  </si>
  <si>
    <t>محمد على عبده على</t>
  </si>
  <si>
    <t>بائع مواد تموينية/ عام</t>
  </si>
  <si>
    <t>lym785984@gmail.com</t>
  </si>
  <si>
    <t>ابرار حسين اتور قلو</t>
  </si>
  <si>
    <t>ibrarhoussion@gmail.com</t>
  </si>
  <si>
    <t>سالم محمد سالم طرشوم</t>
  </si>
  <si>
    <t>المستودع الرئيسي</t>
  </si>
  <si>
    <t>المستودع</t>
  </si>
  <si>
    <t>salim737083803@gmail.com</t>
  </si>
  <si>
    <t>علاء السيد مصطفى حسن</t>
  </si>
  <si>
    <t>مصر</t>
  </si>
  <si>
    <t>عامل تركيب خطوط اتصالات</t>
  </si>
  <si>
    <t>ala501788@gmail.com</t>
  </si>
  <si>
    <t>عبدالواحد عبدالواحد محمود مصطفى</t>
  </si>
  <si>
    <t>Khaledfawy100@gmail.com</t>
  </si>
  <si>
    <t>انيت- -كومار</t>
  </si>
  <si>
    <t>النيبال</t>
  </si>
  <si>
    <t>manbahadur0254@gmail.com</t>
  </si>
  <si>
    <t>هيم شانكار- كومار</t>
  </si>
  <si>
    <t>hemakumar852850@gmail.com</t>
  </si>
  <si>
    <t>ياسر صديق محمد صديق</t>
  </si>
  <si>
    <t>باكستان</t>
  </si>
  <si>
    <t>yasirabha@gmail.com</t>
  </si>
  <si>
    <t>محمد يعقوب خان محمد</t>
  </si>
  <si>
    <t>2391082183</t>
  </si>
  <si>
    <t>Abdulrahman2211@gmail.com</t>
  </si>
  <si>
    <t>نوف علي شامي عسيري</t>
  </si>
  <si>
    <t>كاشير</t>
  </si>
  <si>
    <t>nooouf8888@gmail.com</t>
  </si>
  <si>
    <t>فيروز علي جان محمد</t>
  </si>
  <si>
    <t>الهند</t>
  </si>
  <si>
    <t>ادخالات</t>
  </si>
  <si>
    <t>كاتب أدخال بيانات</t>
  </si>
  <si>
    <t>Firog.ali062@gmail.com</t>
  </si>
  <si>
    <t>يام بهادور جاها</t>
  </si>
  <si>
    <t>gahanirmal4@gmail.com</t>
  </si>
  <si>
    <t>مد اكاش تالوكدير</t>
  </si>
  <si>
    <t>بنجلاديش</t>
  </si>
  <si>
    <t>randtalukdarmd@gmail.com</t>
  </si>
  <si>
    <t>رشيد منظور منظور حسين</t>
  </si>
  <si>
    <t>سائق شاحنة ثقيلة</t>
  </si>
  <si>
    <t>M4184314@gmail.com</t>
  </si>
  <si>
    <t>تامر جمعه احمد عبدالله</t>
  </si>
  <si>
    <t>tamerfaresqw@gmail.com</t>
  </si>
  <si>
    <t>احمد علي هادي آل دحنان</t>
  </si>
  <si>
    <t>الامن</t>
  </si>
  <si>
    <t>حارس امن</t>
  </si>
  <si>
    <t>aaldhnan2020@icloud.com</t>
  </si>
  <si>
    <t>نوره حسين مقبول القحطاني</t>
  </si>
  <si>
    <t>مصممة جيرافيك</t>
  </si>
  <si>
    <t>nooragahtani00909@gmail.com</t>
  </si>
  <si>
    <t>احمد فوزي كامل عماره</t>
  </si>
  <si>
    <t>الموظفين</t>
  </si>
  <si>
    <t>aislahmed12@gmail.com</t>
  </si>
  <si>
    <t>نور اسلام شيخ</t>
  </si>
  <si>
    <t>n82794747@gmail.com</t>
  </si>
  <si>
    <t>باسم محسن السيد فرج</t>
  </si>
  <si>
    <t>basbosabasm@gmail.com</t>
  </si>
  <si>
    <t>هاني عبدالرحمن صالح القحطاني</t>
  </si>
  <si>
    <t>مدير الموارد البشرية</t>
  </si>
  <si>
    <t>hani.abdulrahman@jalmajd.com</t>
  </si>
  <si>
    <t>حسن علي حسن غظيف</t>
  </si>
  <si>
    <t>hassan-1413-2011@gmail.com</t>
  </si>
  <si>
    <t>فهد إبراهيم جعفر الاعوري</t>
  </si>
  <si>
    <t>aassdq28@gmail.com</t>
  </si>
  <si>
    <t>ديباك بلال</t>
  </si>
  <si>
    <t>binitathapa3399@gmail.com</t>
  </si>
  <si>
    <t>عبدالمنعم عبدالرحمن عبدالقادر</t>
  </si>
  <si>
    <t>الاجبان</t>
  </si>
  <si>
    <t>547332121</t>
  </si>
  <si>
    <t>soso3333651@gmail.com</t>
  </si>
  <si>
    <t>خيريه إسماعيل محمد عبدالله خنفور</t>
  </si>
  <si>
    <t>كاشيرة</t>
  </si>
  <si>
    <t>kko.4.5.k@gmail.com</t>
  </si>
  <si>
    <t>عبدالعزيز سعيد مفرح آل الحضيري</t>
  </si>
  <si>
    <t>معقب</t>
  </si>
  <si>
    <t>anso2772@gmail.com</t>
  </si>
  <si>
    <t xml:space="preserve">محمد  شكيل </t>
  </si>
  <si>
    <t>فني شبكات حاسب</t>
  </si>
  <si>
    <t>moh.shakeel76@gmail.com</t>
  </si>
  <si>
    <t>محمد عمران علي</t>
  </si>
  <si>
    <t>moh.imran27@gmail.com</t>
  </si>
  <si>
    <t>ندى يحيى جابر سفياني</t>
  </si>
  <si>
    <t>s85721641@gmail.com</t>
  </si>
  <si>
    <t>صالحة سلطان علي آل سعيده</t>
  </si>
  <si>
    <t>rrsas496@gmail.com</t>
  </si>
  <si>
    <t>محمد علي جابر آل مفقع</t>
  </si>
  <si>
    <t>mhmadale2000@icloud.com</t>
  </si>
  <si>
    <t>تاريخ انتهاء الإقامة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</si>
</sst>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/mm/yyyy"/>
    <numFmt numFmtId="165" formatCode="0.0"/>
    <numFmt numFmtId="166" formatCode="#,##0.00;[Red]\(#,##0.00\);&quot;–&quot;"/>
    <numFmt numFmtId="167" formatCode="[$-409]d/mmm/yyyy"/>
    <numFmt numFmtId="168" formatCode="[$-14C09]d\ mmm\ yyyy"/>
    <numFmt numFmtId="169" formatCode="yyyy\-mm\-dd"/>
    <numFmt numFmtId="170" formatCode="#,##0.00;[Red]\(#,##0.00\);0.00"/>
    <numFmt numFmtId="171" formatCode="0.##"/>
  </numFmts>
  <fonts count="19" x14ac:knownFonts="1">
    <font>
      <sz val="11"/>
      <color theme="1"/>
      <name val="Calibri"/>
      <family val="2"/>
      <scheme val="minor"/>
    </font>
    <font>
      <sz val="11"/>
      <color rgb="FF33465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59A2"/>
      <name val="Calibri"/>
      <family val="2"/>
      <scheme val="minor"/>
    </font>
    <font>
      <b/>
      <sz val="11"/>
      <color rgb="FF185B43"/>
      <name val="Calibri"/>
      <family val="2"/>
      <scheme val="minor"/>
    </font>
    <font>
      <b/>
      <sz val="11"/>
      <color rgb="FF33465F"/>
      <name val="Calibri"/>
      <family val="2"/>
      <scheme val="minor"/>
    </font>
    <font>
      <sz val="8"/>
      <name val="Calibri"/>
      <family val="2"/>
      <scheme val="minor"/>
    </font>
    <font>
      <b/>
      <sz val="18"/>
      <color rgb="FFFFFFFF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159A2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scheme val="minor"/>
    </font>
    <font>
      <sz val="11"/>
      <color rgb="FF2159A2"/>
      <name val="Calibri"/>
      <scheme val="minor"/>
    </font>
    <font>
      <sz val="11"/>
      <color rgb="FF2159A2"/>
      <name val="Calibri"/>
    </font>
    <font>
      <u/>
      <sz val="11"/>
      <color rgb="FF2159A2"/>
      <name val="Calibri"/>
      <family val="2"/>
      <scheme val="minor"/>
    </font>
    <font>
      <sz val="9"/>
      <color indexed="81"/>
      <name val="Tahoma"/>
      <charset val="178"/>
    </font>
    <font>
      <b/>
      <sz val="9"/>
      <color indexed="81"/>
      <name val="Tahoma"/>
      <charset val="178"/>
    </font>
  </fonts>
  <fills count="7">
    <fill>
      <patternFill patternType="none"/>
    </fill>
    <fill>
      <patternFill patternType="gray125"/>
    </fill>
    <fill>
      <patternFill patternType="solid">
        <fgColor rgb="FF182C46"/>
        <bgColor indexed="64"/>
      </patternFill>
    </fill>
    <fill>
      <patternFill patternType="solid">
        <fgColor rgb="FFEFF4F9"/>
        <bgColor indexed="64"/>
      </patternFill>
    </fill>
    <fill>
      <patternFill patternType="solid">
        <fgColor rgb="FFE5F3ED"/>
        <bgColor indexed="64"/>
      </patternFill>
    </fill>
    <fill>
      <patternFill patternType="solid">
        <fgColor theme="0"/>
        <bgColor rgb="FF222A3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56">
    <xf numFmtId="0" fontId="0" fillId="0" borderId="0" xfId="0"/>
    <xf numFmtId="49" fontId="3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right" vertical="center" wrapText="1"/>
    </xf>
    <xf numFmtId="49" fontId="8" fillId="0" borderId="0" xfId="0" applyNumberFormat="1" applyFont="1"/>
    <xf numFmtId="49" fontId="8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49" fontId="8" fillId="5" borderId="0" xfId="0" applyNumberFormat="1" applyFont="1" applyFill="1" applyAlignment="1">
      <alignment horizontal="right" vertical="center" wrapText="1" readingOrder="1"/>
    </xf>
    <xf numFmtId="168" fontId="8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2" fontId="8" fillId="0" borderId="0" xfId="0" applyNumberFormat="1" applyFont="1"/>
    <xf numFmtId="49" fontId="9" fillId="0" borderId="0" xfId="1" applyNumberFormat="1" applyBorder="1" applyAlignment="1">
      <alignment horizontal="right"/>
    </xf>
    <xf numFmtId="0" fontId="8" fillId="0" borderId="0" xfId="0" applyFont="1" applyAlignment="1">
      <alignment horizontal="right"/>
    </xf>
    <xf numFmtId="166" fontId="4" fillId="6" borderId="0" xfId="0" applyNumberFormat="1" applyFont="1" applyFill="1"/>
    <xf numFmtId="49" fontId="8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49" fontId="10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7" fontId="8" fillId="0" borderId="0" xfId="0" applyNumberFormat="1" applyFont="1" applyAlignment="1">
      <alignment horizontal="right" vertical="center"/>
    </xf>
    <xf numFmtId="15" fontId="0" fillId="0" borderId="0" xfId="0" applyNumberForma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14" fillId="0" borderId="0" xfId="0" applyNumberFormat="1" applyFont="1" applyAlignment="1">
      <alignment horizontal="right" vertical="center"/>
    </xf>
    <xf numFmtId="49" fontId="15" fillId="0" borderId="0" xfId="0" applyNumberFormat="1" applyFont="1" applyAlignment="1">
      <alignment horizontal="right" vertical="center"/>
    </xf>
    <xf numFmtId="49" fontId="9" fillId="5" borderId="0" xfId="1" applyNumberFormat="1" applyFill="1" applyBorder="1" applyAlignment="1">
      <alignment horizontal="left" vertical="center" wrapText="1"/>
    </xf>
    <xf numFmtId="49" fontId="9" fillId="0" borderId="0" xfId="1" applyNumberFormat="1" applyBorder="1" applyAlignment="1">
      <alignment horizontal="left" vertical="center"/>
    </xf>
    <xf numFmtId="49" fontId="9" fillId="0" borderId="0" xfId="1" applyNumberFormat="1" applyFill="1" applyBorder="1" applyAlignment="1">
      <alignment horizontal="left" vertical="center"/>
    </xf>
    <xf numFmtId="167" fontId="9" fillId="0" borderId="0" xfId="1" applyNumberForma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16" fillId="0" borderId="0" xfId="1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center" vertical="center"/>
    </xf>
    <xf numFmtId="169" fontId="11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66" fontId="4" fillId="4" borderId="0" xfId="0" applyNumberFormat="1" applyFont="1" applyFill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170" fontId="8" fillId="0" borderId="0" xfId="0" applyNumberFormat="1" applyFont="1" applyAlignment="1">
      <alignment horizontal="right" vertical="center"/>
    </xf>
    <xf numFmtId="170" fontId="11" fillId="0" borderId="0" xfId="0" applyNumberFormat="1" applyFont="1" applyAlignment="1">
      <alignment horizontal="right" vertical="center"/>
    </xf>
    <xf numFmtId="170" fontId="10" fillId="0" borderId="0" xfId="0" applyNumberFormat="1" applyFont="1" applyAlignment="1">
      <alignment horizontal="right" vertical="center"/>
    </xf>
    <xf numFmtId="171" fontId="8" fillId="0" borderId="0" xfId="0" applyNumberFormat="1" applyFont="1" applyAlignment="1">
      <alignment horizontal="center" vertical="center"/>
    </xf>
    <xf numFmtId="171" fontId="10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3">
    <cellStyle name="ارتباط تشعبي" xfId="1" builtinId="8"/>
    <cellStyle name="ارتباط تشعبي 2" xfId="2" xr:uid="{7E14EE8D-B085-4053-AC13-7223F19141FE}"/>
    <cellStyle name="عادي" xfId="0" builtinId="0"/>
  </cellStyles>
  <dxfs count="21">
    <dxf>
      <font>
        <color rgb="FF2159A2"/>
      </font>
      <numFmt numFmtId="169" formatCode="yyyy\-mm\-dd"/>
      <alignment horizontal="center" vertical="center"/>
    </dxf>
    <dxf>
      <font>
        <color rgb="FF2159A2"/>
      </font>
      <numFmt numFmtId="30" formatCode="@"/>
      <alignment horizontal="center" vertical="center"/>
    </dxf>
    <dxf>
      <font>
        <b/>
        <color rgb="FF185B43"/>
      </font>
      <numFmt numFmtId="166" formatCode="#,##0.00;[Red]\(#,##0.00\);&quot;–&quot;"/>
      <fill>
        <patternFill patternType="solid">
          <fgColor indexed="64"/>
          <bgColor rgb="FFE5F3ED"/>
        </patternFill>
      </fill>
      <alignment horizontal="right" vertical="center"/>
    </dxf>
    <dxf>
      <font>
        <color rgb="FF2159A2"/>
      </font>
      <numFmt numFmtId="170" formatCode="#,##0.00;[Red]\(#,##0.00\);0.00"/>
      <alignment horizontal="right" vertical="center" textRotation="0" wrapText="0" indent="0" justifyLastLine="0" shrinkToFit="0" readingOrder="0"/>
    </dxf>
    <dxf>
      <font>
        <color rgb="FF2159A2"/>
      </font>
      <numFmt numFmtId="170" formatCode="#,##0.00;[Red]\(#,##0.00\);0.00"/>
      <alignment horizontal="right" vertical="center"/>
    </dxf>
    <dxf>
      <font>
        <color rgb="FF2159A2"/>
      </font>
      <numFmt numFmtId="170" formatCode="#,##0.00;[Red]\(#,##0.00\);0.00"/>
      <alignment horizontal="right" vertical="center"/>
    </dxf>
    <dxf>
      <font>
        <color rgb="FF2159A2"/>
      </font>
      <numFmt numFmtId="170" formatCode="#,##0.00;[Red]\(#,##0.00\);0.00"/>
      <alignment horizontal="right" vertical="center" textRotation="0" wrapText="0" indent="0" justifyLastLine="0" shrinkToFit="0" readingOrder="0"/>
    </dxf>
    <dxf>
      <font>
        <color rgb="FF2159A2"/>
      </font>
      <numFmt numFmtId="171" formatCode="0.##"/>
      <alignment horizontal="center" vertical="center" textRotation="0" wrapText="0" indent="0" justifyLastLine="0" shrinkToFit="0" readingOrder="0"/>
    </dxf>
    <dxf>
      <font>
        <color rgb="FF2159A2"/>
      </font>
      <numFmt numFmtId="30" formatCode="@"/>
      <alignment horizontal="left" vertical="center" textRotation="0" indent="0" justifyLastLine="0" shrinkToFit="0" readingOrder="0"/>
    </dxf>
    <dxf>
      <font>
        <color rgb="FF2159A2"/>
      </font>
      <numFmt numFmtId="30" formatCode="@"/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none"/>
      </font>
      <numFmt numFmtId="30" formatCode="@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30" formatCode="@"/>
      <alignment horizontal="right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159A2"/>
        <name val="Calibri"/>
        <scheme val="minor"/>
      </font>
      <numFmt numFmtId="30" formatCode="@"/>
      <alignment horizontal="right" vertical="center"/>
    </dxf>
    <dxf>
      <font>
        <color rgb="FF2159A2"/>
      </font>
      <numFmt numFmtId="169" formatCode="yyyy\-mm\-dd"/>
      <alignment horizontal="center" vertical="center"/>
    </dxf>
    <dxf>
      <font>
        <color rgb="FF2159A2"/>
      </font>
      <numFmt numFmtId="30" formatCode="@"/>
      <alignment horizontal="right" vertical="center"/>
    </dxf>
    <dxf>
      <font>
        <color rgb="FF2159A2"/>
      </font>
      <numFmt numFmtId="30" formatCode="@"/>
      <alignment horizontal="right" vertical="center"/>
    </dxf>
    <dxf>
      <font>
        <color rgb="FF2159A2"/>
      </font>
      <numFmt numFmtId="30" formatCode="@"/>
      <alignment horizontal="center" vertical="center" textRotation="0" indent="0" justifyLastLine="0" shrinkToFit="0" readingOrder="0"/>
    </dxf>
    <dxf>
      <font>
        <b val="0"/>
        <color rgb="FF2159A2"/>
      </font>
      <alignment horizontal="right" vertical="center"/>
    </dxf>
    <dxf>
      <font>
        <color rgb="FF2159A2"/>
      </font>
      <numFmt numFmtId="30" formatCode="@"/>
      <alignment horizontal="center" vertical="center"/>
    </dxf>
    <dxf>
      <alignment vertical="center"/>
    </dxf>
    <dxf>
      <font>
        <b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Roster" displayName="EmployeeRoster" ref="A3:S112" totalsRowShown="0" headerRowDxfId="20" dataDxfId="19">
  <autoFilter ref="A3:S112" xr:uid="{00000000-0009-0000-0100-000001000000}"/>
  <tableColumns count="19">
    <tableColumn id="1" xr3:uid="{00000000-0010-0000-0000-000001000000}" name="الرقم الوظيفي" dataDxfId="18"/>
    <tableColumn id="2" xr3:uid="{00000000-0010-0000-0000-000002000000}" name="الاسم" dataDxfId="17"/>
    <tableColumn id="3" xr3:uid="{00000000-0010-0000-0000-000003000000}" name="رقم الهوية" dataDxfId="16"/>
    <tableColumn id="4" xr3:uid="{00000000-0010-0000-0000-000004000000}" name="الجنس" dataDxfId="15"/>
    <tableColumn id="5" xr3:uid="{00000000-0010-0000-0000-000005000000}" name="الجنسية" dataDxfId="14"/>
    <tableColumn id="6" xr3:uid="{00000000-0010-0000-0000-000006000000}" name="تاريخ التعيين" dataDxfId="13"/>
    <tableColumn id="17" xr3:uid="{00000000-0010-0000-0000-000011000000}" name="الإدارة" dataDxfId="12"/>
    <tableColumn id="18" xr3:uid="{00000000-0010-0000-0000-000012000000}" name="القسم" dataDxfId="11"/>
    <tableColumn id="16" xr3:uid="{00000000-0010-0000-0000-000010000000}" name="المسمى الوظيفي" dataDxfId="10"/>
    <tableColumn id="7" xr3:uid="{00000000-0010-0000-0000-000007000000}" name="رقم الجوال" dataDxfId="9"/>
    <tableColumn id="8" xr3:uid="{00000000-0010-0000-0000-000008000000}" name="الإيميل" dataDxfId="8"/>
    <tableColumn id="9" xr3:uid="{00000000-0010-0000-0000-000009000000}" name="رصيد الإجازات الحالي" dataDxfId="7"/>
    <tableColumn id="10" xr3:uid="{00000000-0010-0000-0000-00000A000000}" name="الراتب الأساسي" dataDxfId="6"/>
    <tableColumn id="11" xr3:uid="{00000000-0010-0000-0000-00000B000000}" name="بدل السكن" dataDxfId="5"/>
    <tableColumn id="12" xr3:uid="{00000000-0010-0000-0000-00000C000000}" name="بدل المواصلات" dataDxfId="4"/>
    <tableColumn id="13" xr3:uid="{00000000-0010-0000-0000-00000D000000}" name="بدلات أخرى" dataDxfId="3"/>
    <tableColumn id="14" xr3:uid="{00000000-0010-0000-0000-00000E000000}" name="الإجمالي" dataDxfId="2">
      <calculatedColumnFormula>IF(COUNT(M4:P4)=0,"",SUM(M4:P4))</calculatedColumnFormula>
    </tableColumn>
    <tableColumn id="15" xr3:uid="{00000000-0010-0000-0000-00000F000000}" name="رقم الآيبان" dataDxfId="1"/>
    <tableColumn id="19" xr3:uid="{23BCD779-26BB-4861-B803-43030B8F3DD0}" name="تاريخ انتهاء الإقامة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47F7779-3308-46A5-9E82-404C53F71AB1}">
  <we:reference id="wa200010215" version="2.0.0.1" store="en-US" storeType="OMEX"/>
  <we:alternateReferences>
    <we:reference id="wa200010215" version="2.0.0.1" store="" storeType="OMEX"/>
  </we:alternateReferences>
  <we:properties>
    <we:property name="bps.codex_control.document_id" value="&quot;01e0cb78-c120-43d1-b639-34092ca46a7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mir2071985@gmail.com" TargetMode="External"/><Relationship Id="rId18" Type="http://schemas.openxmlformats.org/officeDocument/2006/relationships/hyperlink" Target="mailto:jabr60601@gmail.com" TargetMode="External"/><Relationship Id="rId26" Type="http://schemas.openxmlformats.org/officeDocument/2006/relationships/hyperlink" Target="mailto:hoquesk868@gmail.com" TargetMode="External"/><Relationship Id="rId39" Type="http://schemas.openxmlformats.org/officeDocument/2006/relationships/hyperlink" Target="mailto:helmymo505@gmail.com" TargetMode="External"/><Relationship Id="rId21" Type="http://schemas.openxmlformats.org/officeDocument/2006/relationships/hyperlink" Target="mailto:gobalk711@gmail.com" TargetMode="External"/><Relationship Id="rId34" Type="http://schemas.openxmlformats.org/officeDocument/2006/relationships/hyperlink" Target="mailto:aashismandal51@gmail.com" TargetMode="External"/><Relationship Id="rId42" Type="http://schemas.openxmlformats.org/officeDocument/2006/relationships/hyperlink" Target="mailto:ali.mligy77@gmail.com" TargetMode="External"/><Relationship Id="rId47" Type="http://schemas.openxmlformats.org/officeDocument/2006/relationships/hyperlink" Target="mailto:0faruk2050@gmail.com" TargetMode="External"/><Relationship Id="rId50" Type="http://schemas.openxmlformats.org/officeDocument/2006/relationships/hyperlink" Target="mailto:moraya999@icloud.com" TargetMode="External"/><Relationship Id="rId55" Type="http://schemas.openxmlformats.org/officeDocument/2006/relationships/vmlDrawing" Target="../drawings/vmlDrawing1.vml"/><Relationship Id="rId7" Type="http://schemas.openxmlformats.org/officeDocument/2006/relationships/hyperlink" Target="mailto:hajishahid556@gmail.com" TargetMode="External"/><Relationship Id="rId2" Type="http://schemas.openxmlformats.org/officeDocument/2006/relationships/hyperlink" Target="mailto:shakirullahx99@gmail.com" TargetMode="External"/><Relationship Id="rId16" Type="http://schemas.openxmlformats.org/officeDocument/2006/relationships/hyperlink" Target="mailto:skr183660@gmail.com" TargetMode="External"/><Relationship Id="rId29" Type="http://schemas.openxmlformats.org/officeDocument/2006/relationships/hyperlink" Target="mailto:mirhosen328@gmail.com" TargetMode="External"/><Relationship Id="rId11" Type="http://schemas.openxmlformats.org/officeDocument/2006/relationships/hyperlink" Target="mailto:jooary1410@icloud.com" TargetMode="External"/><Relationship Id="rId24" Type="http://schemas.openxmlformats.org/officeDocument/2006/relationships/hyperlink" Target="mailto:bayezidbayezid999@gmail.com" TargetMode="External"/><Relationship Id="rId32" Type="http://schemas.openxmlformats.org/officeDocument/2006/relationships/hyperlink" Target="mailto:sami71242@gmail.com" TargetMode="External"/><Relationship Id="rId37" Type="http://schemas.openxmlformats.org/officeDocument/2006/relationships/hyperlink" Target="mailto:mdshakilkhalifa95@gmail.com" TargetMode="External"/><Relationship Id="rId40" Type="http://schemas.openxmlformats.org/officeDocument/2006/relationships/hyperlink" Target="mailto:zayed29665@gmail.com" TargetMode="External"/><Relationship Id="rId45" Type="http://schemas.openxmlformats.org/officeDocument/2006/relationships/hyperlink" Target="mailto:yanallahahmad@gmail.com" TargetMode="External"/><Relationship Id="rId53" Type="http://schemas.openxmlformats.org/officeDocument/2006/relationships/hyperlink" Target="mailto:r02ee@hotmail.com" TargetMode="External"/><Relationship Id="rId5" Type="http://schemas.openxmlformats.org/officeDocument/2006/relationships/hyperlink" Target="mailto:Ar7546090@gmail.com" TargetMode="External"/><Relationship Id="rId19" Type="http://schemas.openxmlformats.org/officeDocument/2006/relationships/hyperlink" Target="mailto:khalidraii66@gmail.com" TargetMode="External"/><Relationship Id="rId4" Type="http://schemas.openxmlformats.org/officeDocument/2006/relationships/hyperlink" Target="mailto:hyy93882@gmail.com" TargetMode="External"/><Relationship Id="rId9" Type="http://schemas.openxmlformats.org/officeDocument/2006/relationships/hyperlink" Target="mailto:lab40625@gmail.com" TargetMode="External"/><Relationship Id="rId14" Type="http://schemas.openxmlformats.org/officeDocument/2006/relationships/hyperlink" Target="mailto:abdulrehmanmani223@gmail.com" TargetMode="External"/><Relationship Id="rId22" Type="http://schemas.openxmlformats.org/officeDocument/2006/relationships/hyperlink" Target="mailto:alsydkshksh@gmail.com" TargetMode="External"/><Relationship Id="rId27" Type="http://schemas.openxmlformats.org/officeDocument/2006/relationships/hyperlink" Target="mailto:km7505079@gmail.com" TargetMode="External"/><Relationship Id="rId30" Type="http://schemas.openxmlformats.org/officeDocument/2006/relationships/hyperlink" Target="mailto:dev841833@gmail.com" TargetMode="External"/><Relationship Id="rId35" Type="http://schemas.openxmlformats.org/officeDocument/2006/relationships/hyperlink" Target="mailto:haiati.sft123@gmail.com" TargetMode="External"/><Relationship Id="rId43" Type="http://schemas.openxmlformats.org/officeDocument/2006/relationships/hyperlink" Target="mailto:l.alhmdan19@gmail.com" TargetMode="External"/><Relationship Id="rId48" Type="http://schemas.openxmlformats.org/officeDocument/2006/relationships/hyperlink" Target="mailto:mohamedsalehmahdy@hotmail.com" TargetMode="External"/><Relationship Id="rId56" Type="http://schemas.openxmlformats.org/officeDocument/2006/relationships/table" Target="../tables/table1.xml"/><Relationship Id="rId8" Type="http://schemas.openxmlformats.org/officeDocument/2006/relationships/hyperlink" Target="mailto:ttak11224@gmail.com" TargetMode="External"/><Relationship Id="rId51" Type="http://schemas.openxmlformats.org/officeDocument/2006/relationships/hyperlink" Target="mailto:mshlb0441@gmail.com" TargetMode="External"/><Relationship Id="rId3" Type="http://schemas.openxmlformats.org/officeDocument/2006/relationships/hyperlink" Target="mailto:bintaher2@hotmail.com" TargetMode="External"/><Relationship Id="rId12" Type="http://schemas.openxmlformats.org/officeDocument/2006/relationships/hyperlink" Target="mailto:hashm053618@gmail.com" TargetMode="External"/><Relationship Id="rId17" Type="http://schemas.openxmlformats.org/officeDocument/2006/relationships/hyperlink" Target="mailto:ezzatmohammad77@gmail.com" TargetMode="External"/><Relationship Id="rId25" Type="http://schemas.openxmlformats.org/officeDocument/2006/relationships/hyperlink" Target="mailto:manjitkumarsada2000@gmail.com" TargetMode="External"/><Relationship Id="rId33" Type="http://schemas.openxmlformats.org/officeDocument/2006/relationships/hyperlink" Target="mailto:rasal9717@gmail.com" TargetMode="External"/><Relationship Id="rId38" Type="http://schemas.openxmlformats.org/officeDocument/2006/relationships/hyperlink" Target="mailto:moshaker686@gmail.com" TargetMode="External"/><Relationship Id="rId46" Type="http://schemas.openxmlformats.org/officeDocument/2006/relationships/hyperlink" Target="mailto:albishri900@gmail.com" TargetMode="External"/><Relationship Id="rId20" Type="http://schemas.openxmlformats.org/officeDocument/2006/relationships/hyperlink" Target="mailto:purnaalemagar87@gmail.com" TargetMode="External"/><Relationship Id="rId41" Type="http://schemas.openxmlformats.org/officeDocument/2006/relationships/hyperlink" Target="mailto:essamgaber44abdo@g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shamaalimohd@gmail.com" TargetMode="External"/><Relationship Id="rId6" Type="http://schemas.openxmlformats.org/officeDocument/2006/relationships/hyperlink" Target="mailto:ma3586482@gmail.com" TargetMode="External"/><Relationship Id="rId15" Type="http://schemas.openxmlformats.org/officeDocument/2006/relationships/hyperlink" Target="mailto:shamsheralamshamsher744@gmail.com" TargetMode="External"/><Relationship Id="rId23" Type="http://schemas.openxmlformats.org/officeDocument/2006/relationships/hyperlink" Target="mailto:715taha715taha715@gmail.com" TargetMode="External"/><Relationship Id="rId28" Type="http://schemas.openxmlformats.org/officeDocument/2006/relationships/hyperlink" Target="mailto:sakilahmed3050509@gmail.com" TargetMode="External"/><Relationship Id="rId36" Type="http://schemas.openxmlformats.org/officeDocument/2006/relationships/hyperlink" Target="mailto:sujon159293@gmail.com" TargetMode="External"/><Relationship Id="rId49" Type="http://schemas.openxmlformats.org/officeDocument/2006/relationships/hyperlink" Target="mailto:svrymdy470@gmail.com" TargetMode="External"/><Relationship Id="rId57" Type="http://schemas.openxmlformats.org/officeDocument/2006/relationships/comments" Target="../comments1.xml"/><Relationship Id="rId10" Type="http://schemas.openxmlformats.org/officeDocument/2006/relationships/hyperlink" Target="mailto:abobadeer196@gmail.com" TargetMode="External"/><Relationship Id="rId31" Type="http://schemas.openxmlformats.org/officeDocument/2006/relationships/hyperlink" Target="mailto:ahmedelngar@gmail.com" TargetMode="External"/><Relationship Id="rId44" Type="http://schemas.openxmlformats.org/officeDocument/2006/relationships/hyperlink" Target="mailto:dilshad9369222419@gmail.com" TargetMode="External"/><Relationship Id="rId52" Type="http://schemas.openxmlformats.org/officeDocument/2006/relationships/hyperlink" Target="mailto:rayana019283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13"/>
  <sheetViews>
    <sheetView rightToLeft="1" tabSelected="1" topLeftCell="K1" workbookViewId="0">
      <pane ySplit="3" topLeftCell="A4" activePane="bottomLeft" state="frozen"/>
      <selection pane="bottomLeft" sqref="A1:S1"/>
    </sheetView>
  </sheetViews>
  <sheetFormatPr defaultRowHeight="14.5" x14ac:dyDescent="0.35"/>
  <cols>
    <col min="1" max="1" width="18.90625" customWidth="1"/>
    <col min="2" max="2" width="43.26953125" customWidth="1"/>
    <col min="3" max="3" width="20.36328125" customWidth="1"/>
    <col min="4" max="4" width="12.36328125" customWidth="1"/>
    <col min="5" max="5" width="16.7265625" customWidth="1"/>
    <col min="6" max="6" width="20.36328125" customWidth="1"/>
    <col min="7" max="7" width="23.6328125" customWidth="1"/>
    <col min="8" max="8" width="25.453125" customWidth="1"/>
    <col min="9" max="9" width="34.90625" customWidth="1"/>
    <col min="10" max="10" width="21.08984375" customWidth="1"/>
    <col min="11" max="11" width="44" customWidth="1"/>
    <col min="12" max="12" width="22.1796875" customWidth="1"/>
    <col min="13" max="13" width="18.90625" customWidth="1"/>
    <col min="14" max="14" width="17.26953125" customWidth="1"/>
    <col min="15" max="15" width="18.54296875" customWidth="1"/>
    <col min="16" max="16" width="17.26953125" customWidth="1"/>
    <col min="17" max="17" width="20.36328125" customWidth="1"/>
    <col min="18" max="18" width="30.90625" customWidth="1"/>
    <col min="19" max="19" width="29.08984375" customWidth="1"/>
  </cols>
  <sheetData>
    <row r="1" spans="1:19" ht="38.15" customHeight="1" x14ac:dyDescent="0.3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</row>
    <row r="2" spans="1:19" ht="28" customHeight="1" x14ac:dyDescent="0.35">
      <c r="A2" s="55" t="s">
        <v>21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3" t="s">
        <v>16</v>
      </c>
      <c r="N2" s="3">
        <f>COUNTA(EmployeeRoster[رقم الهوية])</f>
        <v>109</v>
      </c>
      <c r="O2" s="2"/>
      <c r="P2" s="3" t="s">
        <v>17</v>
      </c>
      <c r="Q2" s="4">
        <f>SUM(EmployeeRoster[الإجمالي])</f>
        <v>306000</v>
      </c>
      <c r="R2" s="2"/>
    </row>
    <row r="3" spans="1:19" ht="38" customHeight="1" x14ac:dyDescent="0.35">
      <c r="A3" s="20" t="s">
        <v>1</v>
      </c>
      <c r="B3" s="20" t="s">
        <v>2</v>
      </c>
      <c r="C3" s="20" t="s">
        <v>3</v>
      </c>
      <c r="D3" s="20" t="s">
        <v>4</v>
      </c>
      <c r="E3" s="20" t="s">
        <v>5</v>
      </c>
      <c r="F3" s="20" t="s">
        <v>6</v>
      </c>
      <c r="G3" s="20" t="s">
        <v>19</v>
      </c>
      <c r="H3" s="20" t="s">
        <v>20</v>
      </c>
      <c r="I3" s="20" t="s">
        <v>18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0" t="s">
        <v>13</v>
      </c>
      <c r="Q3" s="20" t="s">
        <v>14</v>
      </c>
      <c r="R3" s="20" t="s">
        <v>15</v>
      </c>
      <c r="S3" s="20" t="s">
        <v>357</v>
      </c>
    </row>
    <row r="4" spans="1:19" ht="23" customHeight="1" x14ac:dyDescent="0.35">
      <c r="A4" s="36"/>
      <c r="B4" s="21" t="s">
        <v>22</v>
      </c>
      <c r="C4" s="37">
        <v>1112576044</v>
      </c>
      <c r="D4" s="9" t="s">
        <v>76</v>
      </c>
      <c r="E4" s="9" t="s">
        <v>79</v>
      </c>
      <c r="F4" s="43">
        <v>45049</v>
      </c>
      <c r="G4" s="27" t="s">
        <v>19</v>
      </c>
      <c r="H4" s="27" t="s">
        <v>165</v>
      </c>
      <c r="I4" s="5" t="s">
        <v>135</v>
      </c>
      <c r="J4" s="37">
        <v>501607172</v>
      </c>
      <c r="K4" s="30" t="s">
        <v>87</v>
      </c>
      <c r="L4" s="52">
        <v>20</v>
      </c>
      <c r="M4" s="48">
        <v>4000</v>
      </c>
      <c r="N4" s="49">
        <v>0</v>
      </c>
      <c r="O4" s="49">
        <v>0</v>
      </c>
      <c r="P4" s="49">
        <v>0</v>
      </c>
      <c r="Q4" s="47">
        <f t="shared" ref="Q4:Q33" si="0">IF(COUNT(M4:P4)=0,"",SUM(M4:P4))</f>
        <v>4000</v>
      </c>
      <c r="R4" s="36"/>
      <c r="S4" s="46"/>
    </row>
    <row r="5" spans="1:19" ht="23" customHeight="1" x14ac:dyDescent="0.35">
      <c r="A5" s="36"/>
      <c r="B5" s="21" t="s">
        <v>23</v>
      </c>
      <c r="C5" s="38">
        <v>2538280393</v>
      </c>
      <c r="D5" s="17" t="s">
        <v>77</v>
      </c>
      <c r="E5" s="17" t="s">
        <v>80</v>
      </c>
      <c r="F5" s="43">
        <v>44545</v>
      </c>
      <c r="G5" s="27" t="s">
        <v>160</v>
      </c>
      <c r="H5" s="27" t="s">
        <v>160</v>
      </c>
      <c r="I5" s="17" t="s">
        <v>136</v>
      </c>
      <c r="J5" s="38">
        <v>506329726</v>
      </c>
      <c r="K5" s="31" t="s">
        <v>88</v>
      </c>
      <c r="L5" s="52">
        <v>42</v>
      </c>
      <c r="M5" s="49">
        <v>1700</v>
      </c>
      <c r="N5" s="49">
        <v>0</v>
      </c>
      <c r="O5" s="49">
        <v>0</v>
      </c>
      <c r="P5" s="49">
        <v>0</v>
      </c>
      <c r="Q5" s="47">
        <f t="shared" si="0"/>
        <v>1700</v>
      </c>
      <c r="R5" s="36"/>
      <c r="S5" s="46">
        <v>46243</v>
      </c>
    </row>
    <row r="6" spans="1:19" ht="23" customHeight="1" x14ac:dyDescent="0.35">
      <c r="A6" s="36"/>
      <c r="B6" s="21" t="s">
        <v>24</v>
      </c>
      <c r="C6" s="38">
        <v>2306940632</v>
      </c>
      <c r="D6" s="17" t="s">
        <v>77</v>
      </c>
      <c r="E6" s="17" t="s">
        <v>81</v>
      </c>
      <c r="F6" s="43">
        <v>40726</v>
      </c>
      <c r="G6" s="27" t="s">
        <v>19</v>
      </c>
      <c r="H6" s="27" t="s">
        <v>178</v>
      </c>
      <c r="I6" s="17" t="s">
        <v>139</v>
      </c>
      <c r="J6" s="38">
        <v>556325792</v>
      </c>
      <c r="K6" s="31" t="s">
        <v>194</v>
      </c>
      <c r="L6" s="52">
        <v>0</v>
      </c>
      <c r="M6" s="49">
        <v>2400</v>
      </c>
      <c r="N6" s="49">
        <v>400</v>
      </c>
      <c r="O6" s="49">
        <v>0</v>
      </c>
      <c r="P6" s="49">
        <v>400</v>
      </c>
      <c r="Q6" s="47">
        <f t="shared" si="0"/>
        <v>3200</v>
      </c>
      <c r="R6" s="36"/>
      <c r="S6" s="46">
        <v>46203</v>
      </c>
    </row>
    <row r="7" spans="1:19" ht="23" customHeight="1" x14ac:dyDescent="0.35">
      <c r="A7" s="36"/>
      <c r="B7" s="21" t="s">
        <v>25</v>
      </c>
      <c r="C7" s="38">
        <v>2325243489</v>
      </c>
      <c r="D7" s="17" t="s">
        <v>77</v>
      </c>
      <c r="E7" s="17" t="s">
        <v>82</v>
      </c>
      <c r="F7" s="43">
        <v>45083</v>
      </c>
      <c r="G7" s="27" t="s">
        <v>161</v>
      </c>
      <c r="H7" s="27" t="s">
        <v>162</v>
      </c>
      <c r="I7" s="17" t="s">
        <v>137</v>
      </c>
      <c r="J7" s="38">
        <v>598024219</v>
      </c>
      <c r="K7" s="31" t="s">
        <v>89</v>
      </c>
      <c r="L7" s="52">
        <v>21</v>
      </c>
      <c r="M7" s="49">
        <v>1500</v>
      </c>
      <c r="N7" s="49">
        <v>0</v>
      </c>
      <c r="O7" s="49">
        <v>0</v>
      </c>
      <c r="P7" s="49">
        <v>300</v>
      </c>
      <c r="Q7" s="47">
        <f t="shared" si="0"/>
        <v>1800</v>
      </c>
      <c r="R7" s="36"/>
      <c r="S7" s="46">
        <v>46211</v>
      </c>
    </row>
    <row r="8" spans="1:19" ht="23" customHeight="1" x14ac:dyDescent="0.35">
      <c r="A8" s="36"/>
      <c r="B8" s="21" t="s">
        <v>26</v>
      </c>
      <c r="C8" s="38">
        <v>2315919775</v>
      </c>
      <c r="D8" s="17" t="s">
        <v>77</v>
      </c>
      <c r="E8" s="17" t="s">
        <v>80</v>
      </c>
      <c r="F8" s="43">
        <v>40874</v>
      </c>
      <c r="G8" s="27" t="s">
        <v>163</v>
      </c>
      <c r="H8" s="27" t="s">
        <v>164</v>
      </c>
      <c r="I8" s="17" t="s">
        <v>138</v>
      </c>
      <c r="J8" s="38">
        <v>501394983</v>
      </c>
      <c r="K8" s="31" t="s">
        <v>90</v>
      </c>
      <c r="L8" s="52">
        <v>0</v>
      </c>
      <c r="M8" s="49">
        <v>1500</v>
      </c>
      <c r="N8" s="49">
        <v>0</v>
      </c>
      <c r="O8" s="49">
        <v>0</v>
      </c>
      <c r="P8" s="49">
        <v>500</v>
      </c>
      <c r="Q8" s="47">
        <f t="shared" si="0"/>
        <v>2000</v>
      </c>
      <c r="R8" s="36"/>
      <c r="S8" s="46">
        <v>46324</v>
      </c>
    </row>
    <row r="9" spans="1:19" ht="23" customHeight="1" x14ac:dyDescent="0.35">
      <c r="A9" s="36"/>
      <c r="B9" s="21" t="s">
        <v>27</v>
      </c>
      <c r="C9" s="38">
        <v>2315918215</v>
      </c>
      <c r="D9" s="17" t="s">
        <v>77</v>
      </c>
      <c r="E9" s="17" t="s">
        <v>83</v>
      </c>
      <c r="F9" s="43">
        <v>40874</v>
      </c>
      <c r="G9" s="27" t="s">
        <v>161</v>
      </c>
      <c r="H9" s="27" t="s">
        <v>166</v>
      </c>
      <c r="I9" s="17" t="s">
        <v>139</v>
      </c>
      <c r="J9" s="38">
        <v>507965802</v>
      </c>
      <c r="K9" s="31" t="s">
        <v>91</v>
      </c>
      <c r="L9" s="52">
        <v>0</v>
      </c>
      <c r="M9" s="49">
        <v>2100</v>
      </c>
      <c r="N9" s="49">
        <v>0</v>
      </c>
      <c r="O9" s="49">
        <v>0</v>
      </c>
      <c r="P9" s="49">
        <v>400</v>
      </c>
      <c r="Q9" s="47">
        <f t="shared" si="0"/>
        <v>2500</v>
      </c>
      <c r="R9" s="36"/>
      <c r="S9" s="46">
        <v>46324</v>
      </c>
    </row>
    <row r="10" spans="1:19" ht="23" customHeight="1" x14ac:dyDescent="0.35">
      <c r="A10" s="36"/>
      <c r="B10" s="21" t="s">
        <v>28</v>
      </c>
      <c r="C10" s="38">
        <v>2314527587</v>
      </c>
      <c r="D10" s="17" t="s">
        <v>77</v>
      </c>
      <c r="E10" s="17" t="s">
        <v>80</v>
      </c>
      <c r="F10" s="43">
        <v>40882</v>
      </c>
      <c r="G10" s="27" t="s">
        <v>160</v>
      </c>
      <c r="H10" s="27" t="s">
        <v>160</v>
      </c>
      <c r="I10" s="17" t="s">
        <v>140</v>
      </c>
      <c r="J10" s="38">
        <v>507258267</v>
      </c>
      <c r="K10" s="31" t="s">
        <v>92</v>
      </c>
      <c r="L10" s="52">
        <v>0</v>
      </c>
      <c r="M10" s="49">
        <v>1500</v>
      </c>
      <c r="N10" s="49">
        <v>0</v>
      </c>
      <c r="O10" s="49">
        <v>0</v>
      </c>
      <c r="P10" s="49">
        <v>400</v>
      </c>
      <c r="Q10" s="47">
        <f t="shared" si="0"/>
        <v>1900</v>
      </c>
      <c r="R10" s="36"/>
      <c r="S10" s="46">
        <v>46273</v>
      </c>
    </row>
    <row r="11" spans="1:19" ht="23" customHeight="1" x14ac:dyDescent="0.35">
      <c r="A11" s="36"/>
      <c r="B11" s="21" t="s">
        <v>29</v>
      </c>
      <c r="C11" s="38">
        <v>2325244479</v>
      </c>
      <c r="D11" s="17" t="s">
        <v>77</v>
      </c>
      <c r="E11" s="24" t="s">
        <v>82</v>
      </c>
      <c r="F11" s="43">
        <v>45187</v>
      </c>
      <c r="G11" s="27" t="s">
        <v>161</v>
      </c>
      <c r="H11" s="27" t="s">
        <v>167</v>
      </c>
      <c r="I11" s="17" t="s">
        <v>141</v>
      </c>
      <c r="J11" s="38">
        <v>573026156</v>
      </c>
      <c r="K11" s="31" t="s">
        <v>93</v>
      </c>
      <c r="L11" s="52">
        <v>21</v>
      </c>
      <c r="M11" s="49">
        <v>1400</v>
      </c>
      <c r="N11" s="49">
        <v>0</v>
      </c>
      <c r="O11" s="49">
        <v>0</v>
      </c>
      <c r="P11" s="49">
        <v>400</v>
      </c>
      <c r="Q11" s="47">
        <f t="shared" si="0"/>
        <v>1800</v>
      </c>
      <c r="R11" s="36"/>
      <c r="S11" s="46">
        <v>46218</v>
      </c>
    </row>
    <row r="12" spans="1:19" ht="23" customHeight="1" x14ac:dyDescent="0.35">
      <c r="A12" s="36"/>
      <c r="B12" s="21" t="s">
        <v>30</v>
      </c>
      <c r="C12" s="39">
        <v>2306987377</v>
      </c>
      <c r="D12" s="17" t="s">
        <v>77</v>
      </c>
      <c r="E12" s="17" t="s">
        <v>84</v>
      </c>
      <c r="F12" s="43">
        <v>40726</v>
      </c>
      <c r="G12" s="27" t="s">
        <v>19</v>
      </c>
      <c r="H12" s="27" t="s">
        <v>168</v>
      </c>
      <c r="I12" s="17" t="s">
        <v>142</v>
      </c>
      <c r="J12" s="38">
        <v>532642478</v>
      </c>
      <c r="K12" s="31" t="s">
        <v>94</v>
      </c>
      <c r="L12" s="52">
        <v>60</v>
      </c>
      <c r="M12" s="49">
        <v>1400</v>
      </c>
      <c r="N12" s="49">
        <v>0</v>
      </c>
      <c r="O12" s="49">
        <v>0</v>
      </c>
      <c r="P12" s="49">
        <v>600</v>
      </c>
      <c r="Q12" s="47">
        <f t="shared" si="0"/>
        <v>2000</v>
      </c>
      <c r="R12" s="36"/>
      <c r="S12" s="46">
        <v>46206</v>
      </c>
    </row>
    <row r="13" spans="1:19" ht="23" customHeight="1" x14ac:dyDescent="0.35">
      <c r="A13" s="36"/>
      <c r="B13" s="21" t="s">
        <v>31</v>
      </c>
      <c r="C13" s="38">
        <v>1207113836</v>
      </c>
      <c r="D13" s="17" t="s">
        <v>77</v>
      </c>
      <c r="E13" s="17" t="s">
        <v>85</v>
      </c>
      <c r="F13" s="43">
        <v>45826</v>
      </c>
      <c r="G13" s="27" t="s">
        <v>169</v>
      </c>
      <c r="H13" s="27" t="s">
        <v>166</v>
      </c>
      <c r="I13" s="17" t="s">
        <v>152</v>
      </c>
      <c r="J13" s="38">
        <v>501165968</v>
      </c>
      <c r="K13" s="31" t="s">
        <v>193</v>
      </c>
      <c r="L13" s="52">
        <v>21</v>
      </c>
      <c r="M13" s="49">
        <v>4000</v>
      </c>
      <c r="N13" s="49">
        <v>0</v>
      </c>
      <c r="O13" s="49">
        <v>0</v>
      </c>
      <c r="P13" s="49">
        <v>0</v>
      </c>
      <c r="Q13" s="47">
        <f t="shared" si="0"/>
        <v>4000</v>
      </c>
      <c r="R13" s="36"/>
      <c r="S13" s="46"/>
    </row>
    <row r="14" spans="1:19" ht="23" customHeight="1" x14ac:dyDescent="0.35">
      <c r="A14" s="36"/>
      <c r="B14" s="21" t="s">
        <v>32</v>
      </c>
      <c r="C14" s="39">
        <v>2283589519</v>
      </c>
      <c r="D14" s="17" t="s">
        <v>77</v>
      </c>
      <c r="E14" s="17" t="s">
        <v>83</v>
      </c>
      <c r="F14" s="43">
        <v>40960</v>
      </c>
      <c r="G14" s="27" t="s">
        <v>163</v>
      </c>
      <c r="H14" s="27" t="s">
        <v>162</v>
      </c>
      <c r="I14" s="17" t="s">
        <v>143</v>
      </c>
      <c r="J14" s="38">
        <v>592024470</v>
      </c>
      <c r="K14" s="31" t="s">
        <v>95</v>
      </c>
      <c r="L14" s="52">
        <v>30</v>
      </c>
      <c r="M14" s="49">
        <v>3100</v>
      </c>
      <c r="N14" s="49">
        <v>0</v>
      </c>
      <c r="O14" s="49">
        <v>0</v>
      </c>
      <c r="P14" s="49">
        <v>500</v>
      </c>
      <c r="Q14" s="47">
        <f t="shared" si="0"/>
        <v>3600</v>
      </c>
      <c r="R14" s="36"/>
      <c r="S14" s="46">
        <v>46229</v>
      </c>
    </row>
    <row r="15" spans="1:19" ht="23" customHeight="1" x14ac:dyDescent="0.35">
      <c r="A15" s="36"/>
      <c r="B15" s="21" t="s">
        <v>33</v>
      </c>
      <c r="C15" s="39">
        <v>1067473056</v>
      </c>
      <c r="D15" s="17" t="s">
        <v>78</v>
      </c>
      <c r="E15" s="17" t="s">
        <v>79</v>
      </c>
      <c r="F15" s="43">
        <v>45600</v>
      </c>
      <c r="G15" s="27" t="s">
        <v>161</v>
      </c>
      <c r="H15" s="27" t="s">
        <v>170</v>
      </c>
      <c r="I15" s="17" t="s">
        <v>144</v>
      </c>
      <c r="J15" s="38">
        <v>551848943</v>
      </c>
      <c r="K15" s="31" t="s">
        <v>96</v>
      </c>
      <c r="L15" s="52">
        <v>21</v>
      </c>
      <c r="M15" s="49">
        <v>4000</v>
      </c>
      <c r="N15" s="49">
        <v>0</v>
      </c>
      <c r="O15" s="49">
        <v>0</v>
      </c>
      <c r="P15" s="49">
        <v>0</v>
      </c>
      <c r="Q15" s="47">
        <f t="shared" si="0"/>
        <v>4000</v>
      </c>
      <c r="R15" s="36"/>
      <c r="S15" s="46"/>
    </row>
    <row r="16" spans="1:19" ht="23" customHeight="1" x14ac:dyDescent="0.35">
      <c r="A16" s="36"/>
      <c r="B16" s="21" t="s">
        <v>34</v>
      </c>
      <c r="C16" s="39">
        <v>2367492895</v>
      </c>
      <c r="D16" s="17" t="s">
        <v>77</v>
      </c>
      <c r="E16" s="17" t="s">
        <v>81</v>
      </c>
      <c r="F16" s="43">
        <v>41800</v>
      </c>
      <c r="G16" s="27" t="s">
        <v>163</v>
      </c>
      <c r="H16" s="27" t="s">
        <v>19</v>
      </c>
      <c r="I16" s="17" t="s">
        <v>139</v>
      </c>
      <c r="J16" s="38">
        <v>536189691</v>
      </c>
      <c r="K16" s="31" t="s">
        <v>97</v>
      </c>
      <c r="L16" s="52">
        <v>60</v>
      </c>
      <c r="M16" s="49">
        <v>1600</v>
      </c>
      <c r="N16" s="49">
        <v>0</v>
      </c>
      <c r="O16" s="49">
        <v>0</v>
      </c>
      <c r="P16" s="49">
        <v>500</v>
      </c>
      <c r="Q16" s="47">
        <f t="shared" si="0"/>
        <v>2100</v>
      </c>
      <c r="R16" s="36"/>
      <c r="S16" s="46">
        <v>46254</v>
      </c>
    </row>
    <row r="17" spans="1:19" ht="23" customHeight="1" x14ac:dyDescent="0.35">
      <c r="A17" s="36"/>
      <c r="B17" s="21" t="s">
        <v>35</v>
      </c>
      <c r="C17" s="39">
        <v>2366421713</v>
      </c>
      <c r="D17" s="17" t="s">
        <v>77</v>
      </c>
      <c r="E17" s="17" t="s">
        <v>80</v>
      </c>
      <c r="F17" s="43">
        <v>41769</v>
      </c>
      <c r="G17" s="27" t="s">
        <v>160</v>
      </c>
      <c r="H17" s="27" t="s">
        <v>160</v>
      </c>
      <c r="I17" s="17" t="s">
        <v>145</v>
      </c>
      <c r="J17" s="38">
        <v>592842630</v>
      </c>
      <c r="K17" s="31" t="s">
        <v>98</v>
      </c>
      <c r="L17" s="52">
        <v>0</v>
      </c>
      <c r="M17" s="49">
        <v>1100</v>
      </c>
      <c r="N17" s="49">
        <v>400</v>
      </c>
      <c r="O17" s="49">
        <v>0</v>
      </c>
      <c r="P17" s="49">
        <v>400</v>
      </c>
      <c r="Q17" s="47">
        <f t="shared" si="0"/>
        <v>1900</v>
      </c>
      <c r="R17" s="36"/>
      <c r="S17" s="46">
        <v>46297</v>
      </c>
    </row>
    <row r="18" spans="1:19" ht="23" customHeight="1" x14ac:dyDescent="0.35">
      <c r="A18" s="36"/>
      <c r="B18" s="21" t="s">
        <v>36</v>
      </c>
      <c r="C18" s="38">
        <v>2364517926</v>
      </c>
      <c r="D18" s="17" t="s">
        <v>77</v>
      </c>
      <c r="E18" s="17" t="s">
        <v>80</v>
      </c>
      <c r="F18" s="43">
        <v>41738</v>
      </c>
      <c r="G18" s="27" t="s">
        <v>171</v>
      </c>
      <c r="H18" s="27" t="s">
        <v>160</v>
      </c>
      <c r="I18" s="17" t="s">
        <v>146</v>
      </c>
      <c r="J18" s="38">
        <v>582040082</v>
      </c>
      <c r="K18" s="31" t="s">
        <v>99</v>
      </c>
      <c r="L18" s="52">
        <v>0</v>
      </c>
      <c r="M18" s="49">
        <v>2200</v>
      </c>
      <c r="N18" s="49">
        <v>0</v>
      </c>
      <c r="O18" s="49">
        <v>0</v>
      </c>
      <c r="P18" s="49">
        <v>0</v>
      </c>
      <c r="Q18" s="47">
        <f t="shared" si="0"/>
        <v>2200</v>
      </c>
      <c r="R18" s="36"/>
      <c r="S18" s="46">
        <v>46283</v>
      </c>
    </row>
    <row r="19" spans="1:19" ht="23" customHeight="1" x14ac:dyDescent="0.35">
      <c r="A19" s="36"/>
      <c r="B19" s="21" t="s">
        <v>37</v>
      </c>
      <c r="C19" s="38">
        <v>1099604686</v>
      </c>
      <c r="D19" s="17" t="s">
        <v>77</v>
      </c>
      <c r="E19" s="17" t="s">
        <v>85</v>
      </c>
      <c r="F19" s="43">
        <v>45775</v>
      </c>
      <c r="G19" s="27" t="s">
        <v>169</v>
      </c>
      <c r="H19" s="27" t="s">
        <v>19</v>
      </c>
      <c r="I19" s="17" t="s">
        <v>147</v>
      </c>
      <c r="J19" s="38">
        <v>565737226</v>
      </c>
      <c r="K19" s="32" t="s">
        <v>100</v>
      </c>
      <c r="L19" s="52">
        <v>12</v>
      </c>
      <c r="M19" s="49">
        <v>4000</v>
      </c>
      <c r="N19" s="49">
        <v>0</v>
      </c>
      <c r="O19" s="49">
        <v>0</v>
      </c>
      <c r="P19" s="49">
        <v>0</v>
      </c>
      <c r="Q19" s="47">
        <f t="shared" si="0"/>
        <v>4000</v>
      </c>
      <c r="R19" s="36"/>
      <c r="S19" s="46"/>
    </row>
    <row r="20" spans="1:19" ht="23" customHeight="1" x14ac:dyDescent="0.35">
      <c r="A20" s="36"/>
      <c r="B20" s="21" t="s">
        <v>38</v>
      </c>
      <c r="C20" s="39">
        <v>2367493612</v>
      </c>
      <c r="D20" s="17" t="s">
        <v>77</v>
      </c>
      <c r="E20" s="17" t="s">
        <v>84</v>
      </c>
      <c r="F20" s="43">
        <v>41793</v>
      </c>
      <c r="G20" s="27" t="s">
        <v>160</v>
      </c>
      <c r="H20" s="27" t="s">
        <v>160</v>
      </c>
      <c r="I20" s="17" t="s">
        <v>148</v>
      </c>
      <c r="J20" s="38">
        <v>506022631</v>
      </c>
      <c r="K20" s="31" t="s">
        <v>101</v>
      </c>
      <c r="L20" s="52">
        <v>0</v>
      </c>
      <c r="M20" s="49">
        <v>1100</v>
      </c>
      <c r="N20" s="49">
        <v>0</v>
      </c>
      <c r="O20" s="49">
        <v>0</v>
      </c>
      <c r="P20" s="49">
        <v>0</v>
      </c>
      <c r="Q20" s="47">
        <f t="shared" si="0"/>
        <v>1100</v>
      </c>
      <c r="R20" s="36"/>
      <c r="S20" s="46">
        <v>46416</v>
      </c>
    </row>
    <row r="21" spans="1:19" ht="23" customHeight="1" x14ac:dyDescent="0.35">
      <c r="A21" s="36"/>
      <c r="B21" s="21" t="s">
        <v>39</v>
      </c>
      <c r="C21" s="39">
        <v>2487108330</v>
      </c>
      <c r="D21" s="17" t="s">
        <v>77</v>
      </c>
      <c r="E21" s="17" t="s">
        <v>84</v>
      </c>
      <c r="F21" s="43">
        <v>44304</v>
      </c>
      <c r="G21" s="27" t="s">
        <v>161</v>
      </c>
      <c r="H21" s="27" t="s">
        <v>162</v>
      </c>
      <c r="I21" s="17" t="s">
        <v>146</v>
      </c>
      <c r="J21" s="38">
        <v>577535320</v>
      </c>
      <c r="K21" s="31" t="s">
        <v>102</v>
      </c>
      <c r="L21" s="52">
        <v>0</v>
      </c>
      <c r="M21" s="49">
        <v>1800</v>
      </c>
      <c r="N21" s="49">
        <v>0</v>
      </c>
      <c r="O21" s="49">
        <v>0</v>
      </c>
      <c r="P21" s="49">
        <v>0</v>
      </c>
      <c r="Q21" s="47">
        <f t="shared" si="0"/>
        <v>1800</v>
      </c>
      <c r="R21" s="36"/>
      <c r="S21" s="46">
        <v>46255</v>
      </c>
    </row>
    <row r="22" spans="1:19" ht="23" customHeight="1" x14ac:dyDescent="0.35">
      <c r="A22" s="36"/>
      <c r="B22" s="21" t="s">
        <v>40</v>
      </c>
      <c r="C22" s="39">
        <v>2562504122</v>
      </c>
      <c r="D22" s="17" t="s">
        <v>77</v>
      </c>
      <c r="E22" s="17" t="s">
        <v>83</v>
      </c>
      <c r="F22" s="43">
        <v>45276</v>
      </c>
      <c r="G22" s="27" t="s">
        <v>19</v>
      </c>
      <c r="H22" s="27" t="s">
        <v>172</v>
      </c>
      <c r="I22" s="17" t="s">
        <v>149</v>
      </c>
      <c r="J22" s="38">
        <v>546467607</v>
      </c>
      <c r="K22" s="31" t="s">
        <v>103</v>
      </c>
      <c r="L22" s="52">
        <v>0</v>
      </c>
      <c r="M22" s="49">
        <v>5000</v>
      </c>
      <c r="N22" s="49">
        <v>0</v>
      </c>
      <c r="O22" s="49">
        <v>0</v>
      </c>
      <c r="P22" s="49">
        <v>0</v>
      </c>
      <c r="Q22" s="47">
        <f t="shared" si="0"/>
        <v>5000</v>
      </c>
      <c r="R22" s="36"/>
      <c r="S22" s="46">
        <v>46356</v>
      </c>
    </row>
    <row r="23" spans="1:19" ht="23" customHeight="1" x14ac:dyDescent="0.35">
      <c r="A23" s="36"/>
      <c r="B23" s="21" t="s">
        <v>41</v>
      </c>
      <c r="C23" s="39">
        <v>1119905212</v>
      </c>
      <c r="D23" s="17" t="s">
        <v>77</v>
      </c>
      <c r="E23" s="17" t="s">
        <v>85</v>
      </c>
      <c r="F23" s="43">
        <v>45706</v>
      </c>
      <c r="G23" s="27" t="s">
        <v>161</v>
      </c>
      <c r="H23" s="27" t="s">
        <v>167</v>
      </c>
      <c r="I23" s="17" t="s">
        <v>150</v>
      </c>
      <c r="J23" s="38">
        <v>552931981</v>
      </c>
      <c r="K23" s="31" t="s">
        <v>104</v>
      </c>
      <c r="L23" s="52">
        <v>7</v>
      </c>
      <c r="M23" s="49">
        <v>4000</v>
      </c>
      <c r="N23" s="49">
        <v>0</v>
      </c>
      <c r="O23" s="49">
        <v>0</v>
      </c>
      <c r="P23" s="49">
        <v>0</v>
      </c>
      <c r="Q23" s="47">
        <f t="shared" si="0"/>
        <v>4000</v>
      </c>
      <c r="R23" s="36"/>
      <c r="S23" s="46"/>
    </row>
    <row r="24" spans="1:19" ht="23" customHeight="1" x14ac:dyDescent="0.35">
      <c r="A24" s="36"/>
      <c r="B24" s="21" t="s">
        <v>42</v>
      </c>
      <c r="C24" s="39">
        <v>1110902515</v>
      </c>
      <c r="D24" s="17" t="s">
        <v>77</v>
      </c>
      <c r="E24" s="17" t="s">
        <v>85</v>
      </c>
      <c r="F24" s="43">
        <v>44995</v>
      </c>
      <c r="G24" s="27" t="s">
        <v>161</v>
      </c>
      <c r="H24" s="27" t="s">
        <v>19</v>
      </c>
      <c r="I24" s="17" t="s">
        <v>151</v>
      </c>
      <c r="J24" s="38">
        <v>552592441</v>
      </c>
      <c r="K24" s="31" t="s">
        <v>105</v>
      </c>
      <c r="L24" s="52">
        <v>3</v>
      </c>
      <c r="M24" s="49">
        <v>4000</v>
      </c>
      <c r="N24" s="49">
        <v>0</v>
      </c>
      <c r="O24" s="49">
        <v>0</v>
      </c>
      <c r="P24" s="49">
        <v>200</v>
      </c>
      <c r="Q24" s="47">
        <f t="shared" si="0"/>
        <v>4200</v>
      </c>
      <c r="R24" s="36"/>
      <c r="S24" s="46"/>
    </row>
    <row r="25" spans="1:19" ht="23" customHeight="1" x14ac:dyDescent="0.35">
      <c r="A25" s="36"/>
      <c r="B25" s="21" t="s">
        <v>43</v>
      </c>
      <c r="C25" s="38">
        <v>2465831010</v>
      </c>
      <c r="D25" s="17" t="s">
        <v>77</v>
      </c>
      <c r="E25" s="17" t="s">
        <v>82</v>
      </c>
      <c r="F25" s="43">
        <v>43522</v>
      </c>
      <c r="G25" s="27" t="s">
        <v>161</v>
      </c>
      <c r="H25" s="27" t="s">
        <v>166</v>
      </c>
      <c r="I25" s="17" t="s">
        <v>139</v>
      </c>
      <c r="J25" s="38">
        <v>532356240</v>
      </c>
      <c r="K25" s="31" t="s">
        <v>106</v>
      </c>
      <c r="L25" s="52">
        <v>0</v>
      </c>
      <c r="M25" s="49">
        <v>1000</v>
      </c>
      <c r="N25" s="49">
        <v>200</v>
      </c>
      <c r="O25" s="49">
        <v>0</v>
      </c>
      <c r="P25" s="49">
        <v>500</v>
      </c>
      <c r="Q25" s="47">
        <f t="shared" si="0"/>
        <v>1700</v>
      </c>
      <c r="R25" s="36"/>
      <c r="S25" s="46">
        <v>46204</v>
      </c>
    </row>
    <row r="26" spans="1:19" ht="23" customHeight="1" x14ac:dyDescent="0.35">
      <c r="A26" s="36"/>
      <c r="B26" s="21" t="s">
        <v>44</v>
      </c>
      <c r="C26" s="38">
        <v>2465830186</v>
      </c>
      <c r="D26" s="17" t="s">
        <v>77</v>
      </c>
      <c r="E26" s="17" t="s">
        <v>82</v>
      </c>
      <c r="F26" s="43">
        <v>43522</v>
      </c>
      <c r="G26" s="27" t="s">
        <v>163</v>
      </c>
      <c r="H26" s="27" t="s">
        <v>162</v>
      </c>
      <c r="I26" s="17" t="s">
        <v>139</v>
      </c>
      <c r="J26" s="38">
        <v>508903342</v>
      </c>
      <c r="K26" s="31" t="s">
        <v>107</v>
      </c>
      <c r="L26" s="52">
        <v>60</v>
      </c>
      <c r="M26" s="49">
        <v>1000</v>
      </c>
      <c r="N26" s="49">
        <v>200</v>
      </c>
      <c r="O26" s="49">
        <v>0</v>
      </c>
      <c r="P26" s="49">
        <v>500</v>
      </c>
      <c r="Q26" s="47">
        <f t="shared" si="0"/>
        <v>1700</v>
      </c>
      <c r="R26" s="36"/>
      <c r="S26" s="46">
        <v>46204</v>
      </c>
    </row>
    <row r="27" spans="1:19" ht="23" customHeight="1" x14ac:dyDescent="0.35">
      <c r="A27" s="36"/>
      <c r="B27" s="21" t="s">
        <v>45</v>
      </c>
      <c r="C27" s="38">
        <v>2552866333</v>
      </c>
      <c r="D27" s="17" t="s">
        <v>77</v>
      </c>
      <c r="E27" s="17" t="s">
        <v>83</v>
      </c>
      <c r="F27" s="43">
        <v>45155</v>
      </c>
      <c r="G27" s="27" t="s">
        <v>163</v>
      </c>
      <c r="H27" s="27" t="s">
        <v>19</v>
      </c>
      <c r="I27" s="17" t="s">
        <v>139</v>
      </c>
      <c r="J27" s="38">
        <v>535818031</v>
      </c>
      <c r="K27" s="31" t="s">
        <v>108</v>
      </c>
      <c r="L27" s="52">
        <v>0</v>
      </c>
      <c r="M27" s="49">
        <v>2500</v>
      </c>
      <c r="N27" s="49">
        <v>0</v>
      </c>
      <c r="O27" s="49">
        <v>0</v>
      </c>
      <c r="P27" s="49">
        <v>200</v>
      </c>
      <c r="Q27" s="47">
        <f t="shared" si="0"/>
        <v>2700</v>
      </c>
      <c r="R27" s="36"/>
      <c r="S27" s="46">
        <v>46324</v>
      </c>
    </row>
    <row r="28" spans="1:19" ht="23" customHeight="1" x14ac:dyDescent="0.35">
      <c r="A28" s="36"/>
      <c r="B28" s="21" t="s">
        <v>46</v>
      </c>
      <c r="C28" s="38">
        <v>2521704086</v>
      </c>
      <c r="D28" s="24" t="s">
        <v>77</v>
      </c>
      <c r="E28" s="24" t="s">
        <v>81</v>
      </c>
      <c r="F28" s="43">
        <v>44784</v>
      </c>
      <c r="G28" s="27" t="s">
        <v>163</v>
      </c>
      <c r="H28" s="27" t="s">
        <v>167</v>
      </c>
      <c r="I28" s="24" t="s">
        <v>139</v>
      </c>
      <c r="J28" s="38">
        <v>532363546</v>
      </c>
      <c r="K28" s="33" t="s">
        <v>109</v>
      </c>
      <c r="L28" s="52">
        <v>0</v>
      </c>
      <c r="M28" s="49">
        <v>1800</v>
      </c>
      <c r="N28" s="49">
        <v>0</v>
      </c>
      <c r="O28" s="49">
        <v>0</v>
      </c>
      <c r="P28" s="49">
        <v>0</v>
      </c>
      <c r="Q28" s="47">
        <f t="shared" si="0"/>
        <v>1800</v>
      </c>
      <c r="R28" s="36"/>
      <c r="S28" s="46">
        <v>46312</v>
      </c>
    </row>
    <row r="29" spans="1:19" ht="23" customHeight="1" x14ac:dyDescent="0.35">
      <c r="A29" s="36"/>
      <c r="B29" s="21" t="s">
        <v>47</v>
      </c>
      <c r="C29" s="39">
        <v>2492235524</v>
      </c>
      <c r="D29" s="17" t="s">
        <v>77</v>
      </c>
      <c r="E29" s="17" t="s">
        <v>86</v>
      </c>
      <c r="F29" s="43">
        <v>44131</v>
      </c>
      <c r="G29" s="27" t="s">
        <v>19</v>
      </c>
      <c r="H29" s="27" t="s">
        <v>168</v>
      </c>
      <c r="I29" s="17" t="s">
        <v>139</v>
      </c>
      <c r="J29" s="38">
        <v>552831646</v>
      </c>
      <c r="K29" s="31" t="s">
        <v>110</v>
      </c>
      <c r="L29" s="52">
        <v>30</v>
      </c>
      <c r="M29" s="49">
        <v>1500</v>
      </c>
      <c r="N29" s="49">
        <v>0</v>
      </c>
      <c r="O29" s="49">
        <v>0</v>
      </c>
      <c r="P29" s="49">
        <v>200</v>
      </c>
      <c r="Q29" s="47">
        <f t="shared" si="0"/>
        <v>1700</v>
      </c>
      <c r="R29" s="36"/>
      <c r="S29" s="46">
        <v>46253</v>
      </c>
    </row>
    <row r="30" spans="1:19" ht="23" customHeight="1" x14ac:dyDescent="0.35">
      <c r="A30" s="36"/>
      <c r="B30" s="21" t="s">
        <v>48</v>
      </c>
      <c r="C30" s="38">
        <v>2518764192</v>
      </c>
      <c r="D30" s="17" t="s">
        <v>77</v>
      </c>
      <c r="E30" s="17" t="s">
        <v>82</v>
      </c>
      <c r="F30" s="43">
        <v>44773</v>
      </c>
      <c r="G30" s="27" t="s">
        <v>163</v>
      </c>
      <c r="H30" s="27" t="s">
        <v>162</v>
      </c>
      <c r="I30" s="17" t="s">
        <v>139</v>
      </c>
      <c r="J30" s="38">
        <v>578061364</v>
      </c>
      <c r="K30" s="31" t="s">
        <v>111</v>
      </c>
      <c r="L30" s="52">
        <v>21</v>
      </c>
      <c r="M30" s="49">
        <v>1500</v>
      </c>
      <c r="N30" s="49">
        <v>0</v>
      </c>
      <c r="O30" s="49">
        <v>0</v>
      </c>
      <c r="P30" s="49">
        <v>0</v>
      </c>
      <c r="Q30" s="47">
        <f t="shared" si="0"/>
        <v>1500</v>
      </c>
      <c r="R30" s="36"/>
      <c r="S30" s="46">
        <v>46293</v>
      </c>
    </row>
    <row r="31" spans="1:19" ht="23" customHeight="1" x14ac:dyDescent="0.35">
      <c r="A31" s="36"/>
      <c r="B31" s="21" t="s">
        <v>49</v>
      </c>
      <c r="C31" s="38">
        <v>2481928717</v>
      </c>
      <c r="D31" s="17" t="s">
        <v>77</v>
      </c>
      <c r="E31" s="17" t="s">
        <v>84</v>
      </c>
      <c r="F31" s="43">
        <v>43897</v>
      </c>
      <c r="G31" s="27" t="s">
        <v>163</v>
      </c>
      <c r="H31" s="27" t="s">
        <v>166</v>
      </c>
      <c r="I31" s="17" t="s">
        <v>139</v>
      </c>
      <c r="J31" s="38">
        <v>551575469</v>
      </c>
      <c r="K31" s="31" t="s">
        <v>112</v>
      </c>
      <c r="L31" s="52">
        <v>30</v>
      </c>
      <c r="M31" s="49">
        <v>1500</v>
      </c>
      <c r="N31" s="49">
        <v>0</v>
      </c>
      <c r="O31" s="49">
        <v>0</v>
      </c>
      <c r="P31" s="49">
        <v>300</v>
      </c>
      <c r="Q31" s="47">
        <f t="shared" si="0"/>
        <v>1800</v>
      </c>
      <c r="R31" s="36"/>
      <c r="S31" s="46">
        <v>46356</v>
      </c>
    </row>
    <row r="32" spans="1:19" ht="23" customHeight="1" x14ac:dyDescent="0.35">
      <c r="A32" s="36"/>
      <c r="B32" s="21" t="s">
        <v>50</v>
      </c>
      <c r="C32" s="38">
        <v>2440333439</v>
      </c>
      <c r="D32" s="17" t="s">
        <v>77</v>
      </c>
      <c r="E32" s="17" t="s">
        <v>82</v>
      </c>
      <c r="F32" s="43">
        <v>43356</v>
      </c>
      <c r="G32" s="27" t="s">
        <v>161</v>
      </c>
      <c r="H32" s="27" t="s">
        <v>166</v>
      </c>
      <c r="I32" s="17" t="s">
        <v>139</v>
      </c>
      <c r="J32" s="38">
        <v>572997203</v>
      </c>
      <c r="K32" s="31" t="s">
        <v>113</v>
      </c>
      <c r="L32" s="52">
        <v>30</v>
      </c>
      <c r="M32" s="49">
        <v>1800</v>
      </c>
      <c r="N32" s="49">
        <v>0</v>
      </c>
      <c r="O32" s="49">
        <v>0</v>
      </c>
      <c r="P32" s="49" t="s">
        <v>159</v>
      </c>
      <c r="Q32" s="47">
        <f t="shared" si="0"/>
        <v>1800</v>
      </c>
      <c r="R32" s="36"/>
      <c r="S32" s="46">
        <v>46205</v>
      </c>
    </row>
    <row r="33" spans="1:19" ht="23" customHeight="1" x14ac:dyDescent="0.35">
      <c r="A33" s="36"/>
      <c r="B33" s="21" t="s">
        <v>51</v>
      </c>
      <c r="C33" s="39">
        <v>2460208313</v>
      </c>
      <c r="D33" s="17" t="s">
        <v>77</v>
      </c>
      <c r="E33" s="17" t="s">
        <v>86</v>
      </c>
      <c r="F33" s="43">
        <v>43417</v>
      </c>
      <c r="G33" s="27" t="s">
        <v>161</v>
      </c>
      <c r="H33" s="27" t="s">
        <v>173</v>
      </c>
      <c r="I33" s="17" t="s">
        <v>153</v>
      </c>
      <c r="J33" s="38">
        <v>571237768</v>
      </c>
      <c r="K33" s="31" t="s">
        <v>114</v>
      </c>
      <c r="L33" s="52">
        <v>30</v>
      </c>
      <c r="M33" s="49">
        <v>1200</v>
      </c>
      <c r="N33" s="49">
        <v>0</v>
      </c>
      <c r="O33" s="49">
        <v>0</v>
      </c>
      <c r="P33" s="49">
        <v>500</v>
      </c>
      <c r="Q33" s="47">
        <f t="shared" si="0"/>
        <v>1700</v>
      </c>
      <c r="R33" s="36"/>
      <c r="S33" s="46">
        <v>46236</v>
      </c>
    </row>
    <row r="34" spans="1:19" ht="23" customHeight="1" x14ac:dyDescent="0.35">
      <c r="A34" s="36"/>
      <c r="B34" s="21" t="s">
        <v>52</v>
      </c>
      <c r="C34" s="38">
        <v>2547958955</v>
      </c>
      <c r="D34" s="17" t="s">
        <v>77</v>
      </c>
      <c r="E34" s="17" t="s">
        <v>86</v>
      </c>
      <c r="F34" s="43">
        <v>45322</v>
      </c>
      <c r="G34" s="27" t="s">
        <v>161</v>
      </c>
      <c r="H34" s="27" t="s">
        <v>166</v>
      </c>
      <c r="I34" s="17" t="s">
        <v>136</v>
      </c>
      <c r="J34" s="38">
        <v>560546651</v>
      </c>
      <c r="K34" s="31" t="s">
        <v>115</v>
      </c>
      <c r="L34" s="52">
        <v>42</v>
      </c>
      <c r="M34" s="49">
        <v>1700</v>
      </c>
      <c r="N34" s="49">
        <v>0</v>
      </c>
      <c r="O34" s="49">
        <v>0</v>
      </c>
      <c r="P34" s="49">
        <v>0</v>
      </c>
      <c r="Q34" s="47">
        <f t="shared" ref="Q34:Q50" si="1">IF(COUNT(M34:P34)=0,"",SUM(M34:P34))</f>
        <v>1700</v>
      </c>
      <c r="R34" s="36"/>
      <c r="S34" s="46">
        <v>46343</v>
      </c>
    </row>
    <row r="35" spans="1:19" ht="23" customHeight="1" x14ac:dyDescent="0.35">
      <c r="A35" s="36"/>
      <c r="B35" s="21" t="s">
        <v>53</v>
      </c>
      <c r="C35" s="38">
        <v>2465830822</v>
      </c>
      <c r="D35" s="17" t="s">
        <v>77</v>
      </c>
      <c r="E35" s="17" t="s">
        <v>82</v>
      </c>
      <c r="F35" s="43">
        <v>43522</v>
      </c>
      <c r="G35" s="27" t="s">
        <v>163</v>
      </c>
      <c r="H35" s="27" t="s">
        <v>167</v>
      </c>
      <c r="I35" s="17" t="s">
        <v>141</v>
      </c>
      <c r="J35" s="38">
        <v>582155827</v>
      </c>
      <c r="K35" s="31" t="s">
        <v>116</v>
      </c>
      <c r="L35" s="52">
        <v>21</v>
      </c>
      <c r="M35" s="49">
        <v>1000</v>
      </c>
      <c r="N35" s="49">
        <v>200</v>
      </c>
      <c r="O35" s="49">
        <v>0</v>
      </c>
      <c r="P35" s="49">
        <v>500</v>
      </c>
      <c r="Q35" s="47">
        <f t="shared" si="1"/>
        <v>1700</v>
      </c>
      <c r="R35" s="36"/>
      <c r="S35" s="46">
        <v>46204</v>
      </c>
    </row>
    <row r="36" spans="1:19" ht="23" customHeight="1" x14ac:dyDescent="0.35">
      <c r="A36" s="36"/>
      <c r="B36" s="21" t="s">
        <v>54</v>
      </c>
      <c r="C36" s="39">
        <v>2532369440</v>
      </c>
      <c r="D36" s="17" t="s">
        <v>77</v>
      </c>
      <c r="E36" s="17" t="s">
        <v>83</v>
      </c>
      <c r="F36" s="43">
        <v>44875</v>
      </c>
      <c r="G36" s="27" t="s">
        <v>161</v>
      </c>
      <c r="H36" s="27" t="s">
        <v>162</v>
      </c>
      <c r="I36" s="17" t="s">
        <v>137</v>
      </c>
      <c r="J36" s="38">
        <v>547496905</v>
      </c>
      <c r="K36" s="31" t="s">
        <v>117</v>
      </c>
      <c r="L36" s="52">
        <v>0</v>
      </c>
      <c r="M36" s="49">
        <v>2200</v>
      </c>
      <c r="N36" s="49">
        <v>0</v>
      </c>
      <c r="O36" s="49">
        <v>0</v>
      </c>
      <c r="P36" s="49">
        <v>0</v>
      </c>
      <c r="Q36" s="47">
        <f t="shared" si="1"/>
        <v>2200</v>
      </c>
      <c r="R36" s="36"/>
      <c r="S36" s="46">
        <v>46290</v>
      </c>
    </row>
    <row r="37" spans="1:19" ht="23" customHeight="1" x14ac:dyDescent="0.35">
      <c r="A37" s="36"/>
      <c r="B37" s="21" t="s">
        <v>55</v>
      </c>
      <c r="C37" s="38">
        <v>2499778427</v>
      </c>
      <c r="D37" s="17" t="s">
        <v>77</v>
      </c>
      <c r="E37" s="17" t="s">
        <v>81</v>
      </c>
      <c r="F37" s="43">
        <v>44392</v>
      </c>
      <c r="G37" s="27" t="s">
        <v>19</v>
      </c>
      <c r="H37" s="27" t="s">
        <v>174</v>
      </c>
      <c r="I37" s="17" t="s">
        <v>139</v>
      </c>
      <c r="J37" s="38">
        <v>502669421</v>
      </c>
      <c r="K37" s="31" t="s">
        <v>118</v>
      </c>
      <c r="L37" s="52">
        <v>42</v>
      </c>
      <c r="M37" s="49">
        <v>2000</v>
      </c>
      <c r="N37" s="49">
        <v>0</v>
      </c>
      <c r="O37" s="49">
        <v>0</v>
      </c>
      <c r="P37" s="49">
        <v>0</v>
      </c>
      <c r="Q37" s="47">
        <f t="shared" si="1"/>
        <v>2000</v>
      </c>
      <c r="R37" s="36"/>
      <c r="S37" s="46">
        <v>46261</v>
      </c>
    </row>
    <row r="38" spans="1:19" ht="23" customHeight="1" x14ac:dyDescent="0.35">
      <c r="A38" s="36"/>
      <c r="B38" s="21" t="s">
        <v>56</v>
      </c>
      <c r="C38" s="39">
        <v>2471923587</v>
      </c>
      <c r="D38" s="17" t="s">
        <v>77</v>
      </c>
      <c r="E38" s="17" t="s">
        <v>86</v>
      </c>
      <c r="F38" s="43">
        <v>43831</v>
      </c>
      <c r="G38" s="27" t="s">
        <v>161</v>
      </c>
      <c r="H38" s="27" t="s">
        <v>175</v>
      </c>
      <c r="I38" s="17" t="s">
        <v>153</v>
      </c>
      <c r="J38" s="38">
        <v>578160816</v>
      </c>
      <c r="K38" s="31" t="s">
        <v>119</v>
      </c>
      <c r="L38" s="52">
        <v>60</v>
      </c>
      <c r="M38" s="49">
        <v>1500</v>
      </c>
      <c r="N38" s="49">
        <v>0</v>
      </c>
      <c r="O38" s="49">
        <v>0</v>
      </c>
      <c r="P38" s="49">
        <v>300</v>
      </c>
      <c r="Q38" s="47">
        <f t="shared" si="1"/>
        <v>1800</v>
      </c>
      <c r="R38" s="36"/>
      <c r="S38" s="46">
        <v>46247</v>
      </c>
    </row>
    <row r="39" spans="1:19" ht="23" customHeight="1" x14ac:dyDescent="0.35">
      <c r="A39" s="36"/>
      <c r="B39" s="21" t="s">
        <v>57</v>
      </c>
      <c r="C39" s="40">
        <v>2518762824</v>
      </c>
      <c r="D39" s="18" t="s">
        <v>77</v>
      </c>
      <c r="E39" s="18" t="s">
        <v>82</v>
      </c>
      <c r="F39" s="43">
        <v>44788</v>
      </c>
      <c r="G39" s="27" t="s">
        <v>161</v>
      </c>
      <c r="H39" s="27" t="s">
        <v>173</v>
      </c>
      <c r="I39" s="18" t="s">
        <v>139</v>
      </c>
      <c r="J39" s="40">
        <v>573250991</v>
      </c>
      <c r="K39" s="34" t="s">
        <v>120</v>
      </c>
      <c r="L39" s="52">
        <v>84</v>
      </c>
      <c r="M39" s="49">
        <v>1600</v>
      </c>
      <c r="N39" s="49">
        <v>0</v>
      </c>
      <c r="O39" s="49">
        <v>0</v>
      </c>
      <c r="P39" s="49">
        <v>0</v>
      </c>
      <c r="Q39" s="47">
        <f t="shared" si="1"/>
        <v>1600</v>
      </c>
      <c r="R39" s="36"/>
      <c r="S39" s="46">
        <v>46293</v>
      </c>
    </row>
    <row r="40" spans="1:19" ht="23" customHeight="1" x14ac:dyDescent="0.35">
      <c r="A40" s="36"/>
      <c r="B40" s="21" t="s">
        <v>58</v>
      </c>
      <c r="C40" s="39">
        <v>1057909903</v>
      </c>
      <c r="D40" s="17" t="s">
        <v>78</v>
      </c>
      <c r="E40" s="17" t="s">
        <v>79</v>
      </c>
      <c r="F40" s="43">
        <v>45214</v>
      </c>
      <c r="G40" s="27" t="s">
        <v>161</v>
      </c>
      <c r="H40" s="27" t="s">
        <v>166</v>
      </c>
      <c r="I40" s="17" t="s">
        <v>158</v>
      </c>
      <c r="J40" s="38">
        <v>533522244</v>
      </c>
      <c r="K40" s="31" t="s">
        <v>121</v>
      </c>
      <c r="L40" s="52">
        <v>22</v>
      </c>
      <c r="M40" s="49">
        <v>4000</v>
      </c>
      <c r="N40" s="49">
        <v>0</v>
      </c>
      <c r="O40" s="49">
        <v>0</v>
      </c>
      <c r="P40" s="49">
        <v>0</v>
      </c>
      <c r="Q40" s="47">
        <f t="shared" si="1"/>
        <v>4000</v>
      </c>
      <c r="R40" s="36"/>
      <c r="S40" s="46"/>
    </row>
    <row r="41" spans="1:19" ht="23" customHeight="1" x14ac:dyDescent="0.35">
      <c r="A41" s="36"/>
      <c r="B41" s="21" t="s">
        <v>59</v>
      </c>
      <c r="C41" s="38">
        <v>2431491014</v>
      </c>
      <c r="D41" s="17" t="s">
        <v>77</v>
      </c>
      <c r="E41" s="17" t="s">
        <v>86</v>
      </c>
      <c r="F41" s="43">
        <v>43361</v>
      </c>
      <c r="G41" s="27" t="s">
        <v>161</v>
      </c>
      <c r="H41" s="27" t="s">
        <v>166</v>
      </c>
      <c r="I41" s="17" t="s">
        <v>139</v>
      </c>
      <c r="J41" s="38">
        <v>533799286</v>
      </c>
      <c r="K41" s="31" t="s">
        <v>122</v>
      </c>
      <c r="L41" s="52">
        <v>90</v>
      </c>
      <c r="M41" s="49">
        <v>1200</v>
      </c>
      <c r="N41" s="49">
        <v>0</v>
      </c>
      <c r="O41" s="49">
        <v>0</v>
      </c>
      <c r="P41" s="49">
        <v>500</v>
      </c>
      <c r="Q41" s="47">
        <f t="shared" si="1"/>
        <v>1700</v>
      </c>
      <c r="R41" s="36"/>
      <c r="S41" s="46">
        <v>46282</v>
      </c>
    </row>
    <row r="42" spans="1:19" ht="23" customHeight="1" x14ac:dyDescent="0.35">
      <c r="A42" s="36"/>
      <c r="B42" s="21" t="s">
        <v>60</v>
      </c>
      <c r="C42" s="39">
        <v>2532369572</v>
      </c>
      <c r="D42" s="17" t="s">
        <v>77</v>
      </c>
      <c r="E42" s="17" t="s">
        <v>86</v>
      </c>
      <c r="F42" s="43">
        <v>44875</v>
      </c>
      <c r="G42" s="27" t="s">
        <v>169</v>
      </c>
      <c r="H42" s="27" t="s">
        <v>175</v>
      </c>
      <c r="I42" s="17" t="s">
        <v>136</v>
      </c>
      <c r="J42" s="38">
        <v>544891480</v>
      </c>
      <c r="K42" s="31" t="s">
        <v>123</v>
      </c>
      <c r="L42" s="52">
        <v>42</v>
      </c>
      <c r="M42" s="49">
        <v>1700</v>
      </c>
      <c r="N42" s="49">
        <v>0</v>
      </c>
      <c r="O42" s="49">
        <v>0</v>
      </c>
      <c r="P42" s="49">
        <v>0</v>
      </c>
      <c r="Q42" s="47">
        <f t="shared" si="1"/>
        <v>1700</v>
      </c>
      <c r="R42" s="36"/>
      <c r="S42" s="46">
        <v>46299</v>
      </c>
    </row>
    <row r="43" spans="1:19" ht="23" customHeight="1" x14ac:dyDescent="0.35">
      <c r="A43" s="36"/>
      <c r="B43" s="21" t="s">
        <v>61</v>
      </c>
      <c r="C43" s="40">
        <v>2538279528</v>
      </c>
      <c r="D43" s="18" t="s">
        <v>77</v>
      </c>
      <c r="E43" s="18" t="s">
        <v>83</v>
      </c>
      <c r="F43" s="43">
        <v>44551</v>
      </c>
      <c r="G43" s="27" t="s">
        <v>161</v>
      </c>
      <c r="H43" s="27" t="s">
        <v>162</v>
      </c>
      <c r="I43" s="18" t="s">
        <v>154</v>
      </c>
      <c r="J43" s="40">
        <v>505840589</v>
      </c>
      <c r="K43" s="34" t="s">
        <v>124</v>
      </c>
      <c r="L43" s="52">
        <v>0</v>
      </c>
      <c r="M43" s="49">
        <v>3000</v>
      </c>
      <c r="N43" s="49">
        <v>0</v>
      </c>
      <c r="O43" s="49">
        <v>0</v>
      </c>
      <c r="P43" s="49">
        <v>300</v>
      </c>
      <c r="Q43" s="47">
        <f t="shared" si="1"/>
        <v>3300</v>
      </c>
      <c r="R43" s="36"/>
      <c r="S43" s="46">
        <v>46338</v>
      </c>
    </row>
    <row r="44" spans="1:19" ht="23" customHeight="1" x14ac:dyDescent="0.35">
      <c r="A44" s="36"/>
      <c r="B44" s="21" t="s">
        <v>62</v>
      </c>
      <c r="C44" s="39">
        <v>2576332247</v>
      </c>
      <c r="D44" s="17" t="s">
        <v>77</v>
      </c>
      <c r="E44" s="17" t="s">
        <v>83</v>
      </c>
      <c r="F44" s="43">
        <v>45443</v>
      </c>
      <c r="G44" s="27" t="s">
        <v>163</v>
      </c>
      <c r="H44" s="27" t="s">
        <v>170</v>
      </c>
      <c r="I44" s="17" t="s">
        <v>146</v>
      </c>
      <c r="J44" s="38">
        <v>547801313</v>
      </c>
      <c r="K44" s="31" t="s">
        <v>125</v>
      </c>
      <c r="L44" s="52">
        <v>21</v>
      </c>
      <c r="M44" s="49">
        <v>2000</v>
      </c>
      <c r="N44" s="49">
        <v>0</v>
      </c>
      <c r="O44" s="49">
        <v>0</v>
      </c>
      <c r="P44" s="49" t="s">
        <v>159</v>
      </c>
      <c r="Q44" s="47">
        <f t="shared" si="1"/>
        <v>2000</v>
      </c>
      <c r="R44" s="36"/>
      <c r="S44" s="46">
        <v>46341</v>
      </c>
    </row>
    <row r="45" spans="1:19" ht="23" customHeight="1" x14ac:dyDescent="0.35">
      <c r="A45" s="36"/>
      <c r="B45" s="21" t="s">
        <v>63</v>
      </c>
      <c r="C45" s="40">
        <v>1126762093</v>
      </c>
      <c r="D45" s="17" t="s">
        <v>77</v>
      </c>
      <c r="E45" s="18" t="s">
        <v>85</v>
      </c>
      <c r="F45" s="43">
        <v>46161</v>
      </c>
      <c r="G45" s="27" t="s">
        <v>163</v>
      </c>
      <c r="H45" s="27" t="s">
        <v>166</v>
      </c>
      <c r="I45" s="18" t="s">
        <v>158</v>
      </c>
      <c r="J45" s="40">
        <v>509914701</v>
      </c>
      <c r="K45" s="34" t="s">
        <v>184</v>
      </c>
      <c r="L45" s="52">
        <v>0</v>
      </c>
      <c r="M45" s="49">
        <v>3000</v>
      </c>
      <c r="N45" s="49">
        <v>1000</v>
      </c>
      <c r="O45" s="49">
        <v>0</v>
      </c>
      <c r="P45" s="49" t="s">
        <v>180</v>
      </c>
      <c r="Q45" s="47">
        <f t="shared" si="1"/>
        <v>4000</v>
      </c>
      <c r="R45" s="36"/>
      <c r="S45" s="46"/>
    </row>
    <row r="46" spans="1:19" ht="23" customHeight="1" x14ac:dyDescent="0.35">
      <c r="A46" s="36"/>
      <c r="B46" s="21" t="s">
        <v>64</v>
      </c>
      <c r="C46" s="40">
        <v>1096901374</v>
      </c>
      <c r="D46" s="17" t="s">
        <v>77</v>
      </c>
      <c r="E46" s="18" t="s">
        <v>85</v>
      </c>
      <c r="F46" s="43">
        <v>46154</v>
      </c>
      <c r="G46" s="27" t="s">
        <v>163</v>
      </c>
      <c r="H46" s="27" t="s">
        <v>166</v>
      </c>
      <c r="I46" s="18" t="s">
        <v>158</v>
      </c>
      <c r="J46" s="40">
        <v>507412569</v>
      </c>
      <c r="K46" s="34" t="s">
        <v>185</v>
      </c>
      <c r="L46" s="52">
        <v>0</v>
      </c>
      <c r="M46" s="49">
        <v>3000</v>
      </c>
      <c r="N46" s="49">
        <v>1000</v>
      </c>
      <c r="O46" s="49">
        <v>0</v>
      </c>
      <c r="P46" s="49" t="s">
        <v>180</v>
      </c>
      <c r="Q46" s="47">
        <f t="shared" si="1"/>
        <v>4000</v>
      </c>
      <c r="R46" s="36"/>
      <c r="S46" s="46"/>
    </row>
    <row r="47" spans="1:19" ht="23" customHeight="1" x14ac:dyDescent="0.35">
      <c r="A47" s="36"/>
      <c r="B47" s="21" t="s">
        <v>179</v>
      </c>
      <c r="C47" s="40">
        <v>2506283486</v>
      </c>
      <c r="D47" s="17" t="s">
        <v>77</v>
      </c>
      <c r="E47" s="25" t="s">
        <v>86</v>
      </c>
      <c r="F47" s="43">
        <v>44570</v>
      </c>
      <c r="G47" s="27" t="s">
        <v>161</v>
      </c>
      <c r="H47" s="27" t="s">
        <v>162</v>
      </c>
      <c r="I47" s="18" t="s">
        <v>153</v>
      </c>
      <c r="J47" s="40">
        <v>560014469</v>
      </c>
      <c r="K47" s="34" t="s">
        <v>181</v>
      </c>
      <c r="L47" s="52">
        <v>84</v>
      </c>
      <c r="M47" s="49">
        <v>1500</v>
      </c>
      <c r="N47" s="49">
        <v>0</v>
      </c>
      <c r="O47" s="49">
        <v>0</v>
      </c>
      <c r="P47" s="49">
        <v>200</v>
      </c>
      <c r="Q47" s="47">
        <f t="shared" si="1"/>
        <v>1700</v>
      </c>
      <c r="R47" s="36"/>
      <c r="S47" s="46">
        <v>46256</v>
      </c>
    </row>
    <row r="48" spans="1:19" ht="23" customHeight="1" x14ac:dyDescent="0.35">
      <c r="A48" s="36"/>
      <c r="B48" s="21" t="s">
        <v>65</v>
      </c>
      <c r="C48" s="38">
        <v>1067121598</v>
      </c>
      <c r="D48" s="17" t="s">
        <v>77</v>
      </c>
      <c r="E48" s="17" t="s">
        <v>85</v>
      </c>
      <c r="F48" s="43">
        <v>45946</v>
      </c>
      <c r="G48" s="27" t="s">
        <v>163</v>
      </c>
      <c r="H48" s="27" t="s">
        <v>19</v>
      </c>
      <c r="I48" s="17" t="s">
        <v>147</v>
      </c>
      <c r="J48" s="38">
        <v>558582223</v>
      </c>
      <c r="K48" s="32" t="s">
        <v>126</v>
      </c>
      <c r="L48" s="52">
        <v>21</v>
      </c>
      <c r="M48" s="49">
        <v>3000</v>
      </c>
      <c r="N48" s="49">
        <v>1000</v>
      </c>
      <c r="O48" s="49">
        <v>0</v>
      </c>
      <c r="P48" s="49">
        <v>0</v>
      </c>
      <c r="Q48" s="47">
        <f t="shared" si="1"/>
        <v>4000</v>
      </c>
      <c r="R48" s="36"/>
      <c r="S48" s="46"/>
    </row>
    <row r="49" spans="1:19" ht="23" customHeight="1" x14ac:dyDescent="0.35">
      <c r="A49" s="36"/>
      <c r="B49" s="21" t="s">
        <v>66</v>
      </c>
      <c r="C49" s="39">
        <v>1087002117</v>
      </c>
      <c r="D49" s="17" t="s">
        <v>77</v>
      </c>
      <c r="E49" s="17" t="s">
        <v>85</v>
      </c>
      <c r="F49" s="43">
        <v>44590</v>
      </c>
      <c r="G49" s="27" t="s">
        <v>176</v>
      </c>
      <c r="H49" s="27" t="s">
        <v>166</v>
      </c>
      <c r="I49" s="17" t="s">
        <v>152</v>
      </c>
      <c r="J49" s="38">
        <v>552829665</v>
      </c>
      <c r="K49" s="31" t="s">
        <v>127</v>
      </c>
      <c r="L49" s="52">
        <v>84</v>
      </c>
      <c r="M49" s="49">
        <v>4000</v>
      </c>
      <c r="N49" s="49">
        <v>0</v>
      </c>
      <c r="O49" s="49">
        <v>0</v>
      </c>
      <c r="P49" s="49">
        <v>0</v>
      </c>
      <c r="Q49" s="47">
        <f t="shared" si="1"/>
        <v>4000</v>
      </c>
      <c r="R49" s="36"/>
      <c r="S49" s="46"/>
    </row>
    <row r="50" spans="1:19" ht="23" customHeight="1" x14ac:dyDescent="0.35">
      <c r="A50" s="36"/>
      <c r="B50" s="21" t="s">
        <v>67</v>
      </c>
      <c r="C50" s="39">
        <v>2553883683</v>
      </c>
      <c r="D50" s="17" t="s">
        <v>77</v>
      </c>
      <c r="E50" s="17" t="s">
        <v>83</v>
      </c>
      <c r="F50" s="43">
        <v>45131</v>
      </c>
      <c r="G50" s="27" t="s">
        <v>161</v>
      </c>
      <c r="H50" s="27" t="s">
        <v>162</v>
      </c>
      <c r="I50" s="17" t="s">
        <v>154</v>
      </c>
      <c r="J50" s="38">
        <v>597287018</v>
      </c>
      <c r="K50" s="31" t="s">
        <v>128</v>
      </c>
      <c r="L50" s="52">
        <v>21</v>
      </c>
      <c r="M50" s="49">
        <v>2800</v>
      </c>
      <c r="N50" s="49">
        <v>0</v>
      </c>
      <c r="O50" s="49">
        <v>0</v>
      </c>
      <c r="P50" s="49">
        <v>0</v>
      </c>
      <c r="Q50" s="47">
        <f t="shared" si="1"/>
        <v>2800</v>
      </c>
      <c r="R50" s="36"/>
      <c r="S50" s="46">
        <v>46273</v>
      </c>
    </row>
    <row r="51" spans="1:19" ht="23" customHeight="1" x14ac:dyDescent="0.35">
      <c r="A51" s="36"/>
      <c r="B51" s="21" t="s">
        <v>68</v>
      </c>
      <c r="C51" s="38">
        <v>2523936157</v>
      </c>
      <c r="D51" s="17" t="s">
        <v>77</v>
      </c>
      <c r="E51" s="17" t="s">
        <v>80</v>
      </c>
      <c r="F51" s="43">
        <v>45145</v>
      </c>
      <c r="G51" s="27" t="s">
        <v>160</v>
      </c>
      <c r="H51" s="27" t="s">
        <v>160</v>
      </c>
      <c r="I51" s="17" t="s">
        <v>155</v>
      </c>
      <c r="J51" s="38">
        <v>566746821</v>
      </c>
      <c r="K51" s="31" t="s">
        <v>129</v>
      </c>
      <c r="L51" s="52">
        <v>0</v>
      </c>
      <c r="M51" s="49">
        <v>1800</v>
      </c>
      <c r="N51" s="49">
        <v>0</v>
      </c>
      <c r="O51" s="49">
        <v>0</v>
      </c>
      <c r="P51" s="49">
        <v>0</v>
      </c>
      <c r="Q51" s="47">
        <f t="shared" ref="Q51:Q58" si="2">IF(COUNT(M51:P51)=0,"",SUM(M51:P51))</f>
        <v>1800</v>
      </c>
      <c r="R51" s="36"/>
      <c r="S51" s="46">
        <v>46351</v>
      </c>
    </row>
    <row r="52" spans="1:19" ht="23" customHeight="1" x14ac:dyDescent="0.35">
      <c r="A52" s="36"/>
      <c r="B52" s="21" t="s">
        <v>69</v>
      </c>
      <c r="C52" s="38">
        <v>2634165951</v>
      </c>
      <c r="D52" s="17" t="s">
        <v>77</v>
      </c>
      <c r="E52" s="17" t="s">
        <v>83</v>
      </c>
      <c r="F52" s="43">
        <v>46099</v>
      </c>
      <c r="G52" s="27" t="s">
        <v>19</v>
      </c>
      <c r="H52" s="27" t="s">
        <v>177</v>
      </c>
      <c r="I52" s="17" t="s">
        <v>182</v>
      </c>
      <c r="J52" s="38">
        <v>505689024</v>
      </c>
      <c r="K52" s="31" t="s">
        <v>183</v>
      </c>
      <c r="L52" s="52">
        <v>0</v>
      </c>
      <c r="M52" s="49">
        <v>3000</v>
      </c>
      <c r="N52" s="49">
        <v>1000</v>
      </c>
      <c r="O52" s="49">
        <v>0</v>
      </c>
      <c r="P52" s="49">
        <v>0</v>
      </c>
      <c r="Q52" s="47">
        <v>4000</v>
      </c>
      <c r="R52" s="36"/>
      <c r="S52" s="46">
        <v>46279</v>
      </c>
    </row>
    <row r="53" spans="1:19" ht="23" customHeight="1" x14ac:dyDescent="0.35">
      <c r="A53" s="36"/>
      <c r="B53" s="21" t="s">
        <v>70</v>
      </c>
      <c r="C53" s="39">
        <v>2532227648</v>
      </c>
      <c r="D53" s="17" t="s">
        <v>77</v>
      </c>
      <c r="E53" s="17" t="s">
        <v>83</v>
      </c>
      <c r="F53" s="43">
        <v>44865</v>
      </c>
      <c r="G53" s="27" t="s">
        <v>161</v>
      </c>
      <c r="H53" s="27" t="s">
        <v>162</v>
      </c>
      <c r="I53" s="17" t="s">
        <v>146</v>
      </c>
      <c r="J53" s="38">
        <v>550843692</v>
      </c>
      <c r="K53" s="31" t="s">
        <v>130</v>
      </c>
      <c r="L53" s="52">
        <v>0</v>
      </c>
      <c r="M53" s="49">
        <v>2000</v>
      </c>
      <c r="N53" s="49">
        <v>0</v>
      </c>
      <c r="O53" s="49">
        <v>0</v>
      </c>
      <c r="P53" s="49">
        <v>0</v>
      </c>
      <c r="Q53" s="47">
        <f t="shared" si="2"/>
        <v>2000</v>
      </c>
      <c r="R53" s="36"/>
      <c r="S53" s="46">
        <v>46394</v>
      </c>
    </row>
    <row r="54" spans="1:19" ht="23" customHeight="1" x14ac:dyDescent="0.35">
      <c r="A54" s="36"/>
      <c r="B54" s="21" t="s">
        <v>71</v>
      </c>
      <c r="C54" s="39">
        <v>1074201359</v>
      </c>
      <c r="D54" s="17" t="s">
        <v>78</v>
      </c>
      <c r="E54" s="17" t="s">
        <v>79</v>
      </c>
      <c r="F54" s="43">
        <v>45343</v>
      </c>
      <c r="G54" s="27" t="s">
        <v>19</v>
      </c>
      <c r="H54" s="27" t="s">
        <v>165</v>
      </c>
      <c r="I54" s="17" t="s">
        <v>156</v>
      </c>
      <c r="J54" s="38">
        <v>582052993</v>
      </c>
      <c r="K54" s="31" t="s">
        <v>131</v>
      </c>
      <c r="L54" s="52">
        <v>42</v>
      </c>
      <c r="M54" s="49">
        <v>4000</v>
      </c>
      <c r="N54" s="49">
        <v>0</v>
      </c>
      <c r="O54" s="49">
        <v>0</v>
      </c>
      <c r="P54" s="49">
        <v>0</v>
      </c>
      <c r="Q54" s="47">
        <f t="shared" si="2"/>
        <v>4000</v>
      </c>
      <c r="R54" s="36"/>
      <c r="S54" s="46"/>
    </row>
    <row r="55" spans="1:19" ht="23" customHeight="1" x14ac:dyDescent="0.35">
      <c r="A55" s="36"/>
      <c r="B55" s="21" t="s">
        <v>72</v>
      </c>
      <c r="C55" s="38">
        <v>1125621555</v>
      </c>
      <c r="D55" s="17" t="s">
        <v>77</v>
      </c>
      <c r="E55" s="17" t="s">
        <v>85</v>
      </c>
      <c r="F55" s="43">
        <v>46236</v>
      </c>
      <c r="G55" s="27" t="s">
        <v>161</v>
      </c>
      <c r="H55" s="27" t="s">
        <v>167</v>
      </c>
      <c r="I55" s="17" t="s">
        <v>150</v>
      </c>
      <c r="J55" s="38">
        <v>564851228</v>
      </c>
      <c r="K55" s="31" t="s">
        <v>186</v>
      </c>
      <c r="L55" s="52">
        <v>0</v>
      </c>
      <c r="M55" s="49">
        <v>3000</v>
      </c>
      <c r="N55" s="49">
        <v>1000</v>
      </c>
      <c r="O55" s="49">
        <v>0</v>
      </c>
      <c r="P55" s="49">
        <v>0</v>
      </c>
      <c r="Q55" s="47">
        <f t="shared" si="2"/>
        <v>4000</v>
      </c>
      <c r="R55" s="36"/>
      <c r="S55" s="46"/>
    </row>
    <row r="56" spans="1:19" ht="23" customHeight="1" x14ac:dyDescent="0.35">
      <c r="A56" s="36"/>
      <c r="B56" s="21" t="s">
        <v>73</v>
      </c>
      <c r="C56" s="39">
        <v>2597519772</v>
      </c>
      <c r="D56" s="17" t="s">
        <v>77</v>
      </c>
      <c r="E56" s="17" t="s">
        <v>84</v>
      </c>
      <c r="F56" s="43">
        <v>45644</v>
      </c>
      <c r="G56" s="27" t="s">
        <v>161</v>
      </c>
      <c r="H56" s="27" t="s">
        <v>164</v>
      </c>
      <c r="I56" s="17" t="s">
        <v>157</v>
      </c>
      <c r="J56" s="38">
        <v>503318274</v>
      </c>
      <c r="K56" s="31" t="s">
        <v>132</v>
      </c>
      <c r="L56" s="52">
        <v>0</v>
      </c>
      <c r="M56" s="49">
        <v>1800</v>
      </c>
      <c r="N56" s="49">
        <v>0</v>
      </c>
      <c r="O56" s="49">
        <v>0</v>
      </c>
      <c r="P56" s="49">
        <v>0</v>
      </c>
      <c r="Q56" s="47">
        <f t="shared" si="2"/>
        <v>1800</v>
      </c>
      <c r="R56" s="36"/>
      <c r="S56" s="46">
        <v>46272</v>
      </c>
    </row>
    <row r="57" spans="1:19" ht="23" customHeight="1" x14ac:dyDescent="0.35">
      <c r="A57" s="36"/>
      <c r="B57" s="21" t="s">
        <v>74</v>
      </c>
      <c r="C57" s="39">
        <v>2532635758</v>
      </c>
      <c r="D57" s="17" t="s">
        <v>77</v>
      </c>
      <c r="E57" s="17" t="s">
        <v>83</v>
      </c>
      <c r="F57" s="43">
        <v>44870</v>
      </c>
      <c r="G57" s="27" t="s">
        <v>161</v>
      </c>
      <c r="H57" s="27" t="s">
        <v>162</v>
      </c>
      <c r="I57" s="17" t="s">
        <v>137</v>
      </c>
      <c r="J57" s="38">
        <v>582413752</v>
      </c>
      <c r="K57" s="31" t="s">
        <v>133</v>
      </c>
      <c r="L57" s="52">
        <v>21</v>
      </c>
      <c r="M57" s="49">
        <v>2300</v>
      </c>
      <c r="N57" s="49">
        <v>0</v>
      </c>
      <c r="O57" s="49">
        <v>0</v>
      </c>
      <c r="P57" s="49">
        <v>0</v>
      </c>
      <c r="Q57" s="47">
        <f t="shared" si="2"/>
        <v>2300</v>
      </c>
      <c r="R57" s="36"/>
      <c r="S57" s="46">
        <v>46308</v>
      </c>
    </row>
    <row r="58" spans="1:19" ht="23" customHeight="1" x14ac:dyDescent="0.35">
      <c r="A58" s="36"/>
      <c r="B58" s="21" t="s">
        <v>75</v>
      </c>
      <c r="C58" s="38">
        <v>1104736580</v>
      </c>
      <c r="D58" s="17" t="s">
        <v>78</v>
      </c>
      <c r="E58" s="17" t="s">
        <v>79</v>
      </c>
      <c r="F58" s="43">
        <v>45204</v>
      </c>
      <c r="G58" s="27" t="s">
        <v>163</v>
      </c>
      <c r="H58" s="27" t="s">
        <v>166</v>
      </c>
      <c r="I58" s="17" t="s">
        <v>158</v>
      </c>
      <c r="J58" s="38">
        <v>503268995</v>
      </c>
      <c r="K58" s="31" t="s">
        <v>134</v>
      </c>
      <c r="L58" s="52">
        <v>27</v>
      </c>
      <c r="M58" s="49">
        <v>4000</v>
      </c>
      <c r="N58" s="49">
        <v>0</v>
      </c>
      <c r="O58" s="49">
        <v>0</v>
      </c>
      <c r="P58" s="49" t="s">
        <v>159</v>
      </c>
      <c r="Q58" s="47">
        <f t="shared" si="2"/>
        <v>4000</v>
      </c>
      <c r="R58" s="36"/>
      <c r="S58" s="46"/>
    </row>
    <row r="59" spans="1:19" ht="23" customHeight="1" x14ac:dyDescent="0.35">
      <c r="A59" s="36"/>
      <c r="B59" s="22" t="s">
        <v>189</v>
      </c>
      <c r="C59" s="38">
        <v>1118810322</v>
      </c>
      <c r="D59" s="17" t="s">
        <v>78</v>
      </c>
      <c r="E59" s="17" t="s">
        <v>79</v>
      </c>
      <c r="F59" s="44">
        <v>46260</v>
      </c>
      <c r="G59" s="27" t="s">
        <v>161</v>
      </c>
      <c r="H59" s="27" t="s">
        <v>173</v>
      </c>
      <c r="I59" s="26" t="s">
        <v>190</v>
      </c>
      <c r="J59" s="38">
        <v>505944858</v>
      </c>
      <c r="K59" s="31" t="s">
        <v>192</v>
      </c>
      <c r="L59" s="52">
        <v>0</v>
      </c>
      <c r="M59" s="49">
        <v>3000</v>
      </c>
      <c r="N59" s="50">
        <v>1000</v>
      </c>
      <c r="O59" s="51">
        <v>0</v>
      </c>
      <c r="P59" s="51">
        <v>0</v>
      </c>
      <c r="Q59" s="47">
        <f t="shared" ref="Q59:Q90" si="3">IF(COUNT(M59:P59)=0,"",SUM(M59:P59))</f>
        <v>4000</v>
      </c>
      <c r="R59" s="36"/>
      <c r="S59" s="46"/>
    </row>
    <row r="60" spans="1:19" ht="23" customHeight="1" x14ac:dyDescent="0.35">
      <c r="A60" s="36"/>
      <c r="B60" s="22" t="s">
        <v>187</v>
      </c>
      <c r="C60" s="41">
        <v>1127113163</v>
      </c>
      <c r="D60" s="26" t="s">
        <v>77</v>
      </c>
      <c r="E60" s="26" t="s">
        <v>85</v>
      </c>
      <c r="F60" s="44">
        <v>46079</v>
      </c>
      <c r="G60" s="27" t="s">
        <v>161</v>
      </c>
      <c r="H60" s="27" t="s">
        <v>173</v>
      </c>
      <c r="I60" s="26" t="s">
        <v>188</v>
      </c>
      <c r="J60" s="38">
        <v>532848511</v>
      </c>
      <c r="K60" s="31" t="s">
        <v>191</v>
      </c>
      <c r="L60" s="52">
        <v>0</v>
      </c>
      <c r="M60" s="49">
        <v>3000</v>
      </c>
      <c r="N60" s="50">
        <v>1000</v>
      </c>
      <c r="O60" s="51">
        <v>0</v>
      </c>
      <c r="P60" s="51">
        <v>0</v>
      </c>
      <c r="Q60" s="47">
        <f t="shared" si="3"/>
        <v>4000</v>
      </c>
      <c r="R60" s="36"/>
      <c r="S60" s="46"/>
    </row>
    <row r="61" spans="1:19" ht="23" customHeight="1" x14ac:dyDescent="0.35">
      <c r="A61" s="36"/>
      <c r="B61" s="23" t="s">
        <v>195</v>
      </c>
      <c r="C61" s="42" t="s">
        <v>196</v>
      </c>
      <c r="D61" s="19" t="s">
        <v>76</v>
      </c>
      <c r="E61" s="19" t="s">
        <v>197</v>
      </c>
      <c r="F61" s="45">
        <v>43781</v>
      </c>
      <c r="G61" s="28" t="s">
        <v>19</v>
      </c>
      <c r="H61" s="28" t="s">
        <v>165</v>
      </c>
      <c r="I61" s="29" t="s">
        <v>135</v>
      </c>
      <c r="J61" s="42" t="s">
        <v>198</v>
      </c>
      <c r="K61" s="35" t="s">
        <v>199</v>
      </c>
      <c r="L61" s="53">
        <v>95</v>
      </c>
      <c r="M61" s="51">
        <v>4000</v>
      </c>
      <c r="N61" s="51">
        <v>0</v>
      </c>
      <c r="O61" s="51">
        <v>0</v>
      </c>
      <c r="P61" s="51">
        <v>500</v>
      </c>
      <c r="Q61" s="47">
        <f t="shared" si="3"/>
        <v>4500</v>
      </c>
      <c r="R61" s="36"/>
      <c r="S61" s="46"/>
    </row>
    <row r="62" spans="1:19" ht="23" customHeight="1" x14ac:dyDescent="0.35">
      <c r="A62" s="36"/>
      <c r="B62" s="23" t="s">
        <v>200</v>
      </c>
      <c r="C62" s="42" t="s">
        <v>201</v>
      </c>
      <c r="D62" s="19" t="s">
        <v>77</v>
      </c>
      <c r="E62" s="19" t="s">
        <v>83</v>
      </c>
      <c r="F62" s="45">
        <v>41629</v>
      </c>
      <c r="G62" s="28" t="s">
        <v>19</v>
      </c>
      <c r="H62" s="28" t="s">
        <v>202</v>
      </c>
      <c r="I62" s="29" t="s">
        <v>203</v>
      </c>
      <c r="J62" s="42" t="s">
        <v>204</v>
      </c>
      <c r="K62" s="35" t="s">
        <v>205</v>
      </c>
      <c r="L62" s="53">
        <v>0</v>
      </c>
      <c r="M62" s="51">
        <v>3400</v>
      </c>
      <c r="N62" s="51">
        <v>0</v>
      </c>
      <c r="O62" s="51">
        <v>0</v>
      </c>
      <c r="P62" s="51">
        <v>1100</v>
      </c>
      <c r="Q62" s="47">
        <f t="shared" si="3"/>
        <v>4500</v>
      </c>
      <c r="R62" s="36"/>
      <c r="S62" s="46">
        <v>46286</v>
      </c>
    </row>
    <row r="63" spans="1:19" ht="23" customHeight="1" x14ac:dyDescent="0.35">
      <c r="A63" s="36"/>
      <c r="B63" s="23" t="s">
        <v>206</v>
      </c>
      <c r="C63" s="42" t="s">
        <v>207</v>
      </c>
      <c r="D63" s="19" t="s">
        <v>77</v>
      </c>
      <c r="E63" s="19" t="s">
        <v>83</v>
      </c>
      <c r="F63" s="45">
        <v>39561</v>
      </c>
      <c r="G63" s="28" t="s">
        <v>19</v>
      </c>
      <c r="H63" s="28" t="s">
        <v>202</v>
      </c>
      <c r="I63" s="29" t="s">
        <v>203</v>
      </c>
      <c r="J63" s="42" t="s">
        <v>208</v>
      </c>
      <c r="K63" s="35" t="s">
        <v>209</v>
      </c>
      <c r="L63" s="53">
        <v>0</v>
      </c>
      <c r="M63" s="51">
        <v>3500</v>
      </c>
      <c r="N63" s="51">
        <v>0</v>
      </c>
      <c r="O63" s="51">
        <v>0</v>
      </c>
      <c r="P63" s="51">
        <v>1000</v>
      </c>
      <c r="Q63" s="47">
        <f t="shared" si="3"/>
        <v>4500</v>
      </c>
      <c r="R63" s="36"/>
      <c r="S63" s="46"/>
    </row>
    <row r="64" spans="1:19" ht="23" customHeight="1" x14ac:dyDescent="0.35">
      <c r="A64" s="36"/>
      <c r="B64" s="23" t="s">
        <v>210</v>
      </c>
      <c r="C64" s="42" t="s">
        <v>211</v>
      </c>
      <c r="D64" s="19" t="s">
        <v>77</v>
      </c>
      <c r="E64" s="19" t="s">
        <v>84</v>
      </c>
      <c r="F64" s="45">
        <v>41027</v>
      </c>
      <c r="G64" s="28" t="s">
        <v>163</v>
      </c>
      <c r="H64" s="28" t="s">
        <v>212</v>
      </c>
      <c r="I64" s="29" t="s">
        <v>213</v>
      </c>
      <c r="J64" s="42" t="s">
        <v>214</v>
      </c>
      <c r="K64" s="35" t="s">
        <v>215</v>
      </c>
      <c r="L64" s="53">
        <v>0</v>
      </c>
      <c r="M64" s="51">
        <v>2100</v>
      </c>
      <c r="N64" s="51">
        <v>0</v>
      </c>
      <c r="O64" s="51">
        <v>0</v>
      </c>
      <c r="P64" s="51">
        <v>0</v>
      </c>
      <c r="Q64" s="47">
        <f t="shared" si="3"/>
        <v>2100</v>
      </c>
      <c r="R64" s="36"/>
      <c r="S64" s="46">
        <v>46245</v>
      </c>
    </row>
    <row r="65" spans="1:19" ht="23" customHeight="1" x14ac:dyDescent="0.35">
      <c r="A65" s="36"/>
      <c r="B65" s="23" t="s">
        <v>216</v>
      </c>
      <c r="C65" s="42" t="s">
        <v>217</v>
      </c>
      <c r="D65" s="19" t="s">
        <v>77</v>
      </c>
      <c r="E65" s="19" t="s">
        <v>81</v>
      </c>
      <c r="F65" s="45">
        <v>40638</v>
      </c>
      <c r="G65" s="28" t="s">
        <v>19</v>
      </c>
      <c r="H65" s="28" t="s">
        <v>218</v>
      </c>
      <c r="I65" s="29" t="s">
        <v>219</v>
      </c>
      <c r="J65" s="42" t="s">
        <v>220</v>
      </c>
      <c r="K65" s="35" t="s">
        <v>221</v>
      </c>
      <c r="L65" s="53">
        <v>17</v>
      </c>
      <c r="M65" s="51">
        <v>5000</v>
      </c>
      <c r="N65" s="51">
        <v>0</v>
      </c>
      <c r="O65" s="51">
        <v>0</v>
      </c>
      <c r="P65" s="51">
        <v>0</v>
      </c>
      <c r="Q65" s="47">
        <f t="shared" si="3"/>
        <v>5000</v>
      </c>
      <c r="R65" s="36"/>
      <c r="S65" s="46">
        <v>46289</v>
      </c>
    </row>
    <row r="66" spans="1:19" ht="23" customHeight="1" x14ac:dyDescent="0.35">
      <c r="A66" s="36"/>
      <c r="B66" s="23" t="s">
        <v>222</v>
      </c>
      <c r="C66" s="42" t="s">
        <v>223</v>
      </c>
      <c r="D66" s="19" t="s">
        <v>77</v>
      </c>
      <c r="E66" s="19" t="s">
        <v>84</v>
      </c>
      <c r="F66" s="45">
        <v>40611</v>
      </c>
      <c r="G66" s="28" t="s">
        <v>163</v>
      </c>
      <c r="H66" s="28" t="s">
        <v>212</v>
      </c>
      <c r="I66" s="29" t="s">
        <v>213</v>
      </c>
      <c r="J66" s="42" t="s">
        <v>224</v>
      </c>
      <c r="K66" s="35" t="s">
        <v>225</v>
      </c>
      <c r="L66" s="53">
        <v>60</v>
      </c>
      <c r="M66" s="51">
        <v>1400</v>
      </c>
      <c r="N66" s="51">
        <v>0</v>
      </c>
      <c r="O66" s="51">
        <v>0</v>
      </c>
      <c r="P66" s="51">
        <v>500</v>
      </c>
      <c r="Q66" s="47">
        <f t="shared" si="3"/>
        <v>1900</v>
      </c>
      <c r="R66" s="36"/>
      <c r="S66" s="46">
        <v>46226</v>
      </c>
    </row>
    <row r="67" spans="1:19" ht="23" customHeight="1" x14ac:dyDescent="0.35">
      <c r="A67" s="36"/>
      <c r="B67" s="23" t="s">
        <v>226</v>
      </c>
      <c r="C67" s="42" t="s">
        <v>227</v>
      </c>
      <c r="D67" s="19" t="s">
        <v>77</v>
      </c>
      <c r="E67" s="19" t="s">
        <v>228</v>
      </c>
      <c r="F67" s="45">
        <v>40043</v>
      </c>
      <c r="G67" s="28" t="s">
        <v>161</v>
      </c>
      <c r="H67" s="28" t="s">
        <v>229</v>
      </c>
      <c r="I67" s="29" t="s">
        <v>230</v>
      </c>
      <c r="J67" s="42">
        <v>508607810</v>
      </c>
      <c r="K67" s="35" t="s">
        <v>231</v>
      </c>
      <c r="L67" s="53">
        <v>90</v>
      </c>
      <c r="M67" s="51">
        <v>2200</v>
      </c>
      <c r="N67" s="51">
        <v>0</v>
      </c>
      <c r="O67" s="51">
        <v>0</v>
      </c>
      <c r="P67" s="51">
        <v>700</v>
      </c>
      <c r="Q67" s="47">
        <f t="shared" si="3"/>
        <v>2900</v>
      </c>
      <c r="R67" s="36"/>
      <c r="S67" s="46">
        <v>46264</v>
      </c>
    </row>
    <row r="68" spans="1:19" ht="23" customHeight="1" x14ac:dyDescent="0.35">
      <c r="A68" s="36"/>
      <c r="B68" s="23" t="s">
        <v>232</v>
      </c>
      <c r="C68" s="42" t="s">
        <v>233</v>
      </c>
      <c r="D68" s="19" t="s">
        <v>77</v>
      </c>
      <c r="E68" s="19" t="s">
        <v>234</v>
      </c>
      <c r="F68" s="45">
        <v>39658</v>
      </c>
      <c r="G68" s="28" t="s">
        <v>235</v>
      </c>
      <c r="H68" s="28" t="s">
        <v>212</v>
      </c>
      <c r="I68" s="29" t="s">
        <v>139</v>
      </c>
      <c r="J68" s="42">
        <v>580164615</v>
      </c>
      <c r="K68" s="35" t="s">
        <v>236</v>
      </c>
      <c r="L68" s="53">
        <v>60</v>
      </c>
      <c r="M68" s="51">
        <v>1600</v>
      </c>
      <c r="N68" s="51">
        <v>0</v>
      </c>
      <c r="O68" s="51">
        <v>0</v>
      </c>
      <c r="P68" s="51">
        <v>500</v>
      </c>
      <c r="Q68" s="47">
        <f t="shared" si="3"/>
        <v>2100</v>
      </c>
      <c r="R68" s="36"/>
      <c r="S68" s="46">
        <v>46278</v>
      </c>
    </row>
    <row r="69" spans="1:19" ht="23" customHeight="1" x14ac:dyDescent="0.35">
      <c r="A69" s="36"/>
      <c r="B69" s="23" t="s">
        <v>237</v>
      </c>
      <c r="C69" s="42" t="s">
        <v>238</v>
      </c>
      <c r="D69" s="19" t="s">
        <v>77</v>
      </c>
      <c r="E69" s="19" t="s">
        <v>84</v>
      </c>
      <c r="F69" s="45">
        <v>45470</v>
      </c>
      <c r="G69" s="28" t="s">
        <v>161</v>
      </c>
      <c r="H69" s="28" t="s">
        <v>239</v>
      </c>
      <c r="I69" s="29" t="s">
        <v>240</v>
      </c>
      <c r="J69" s="42" t="s">
        <v>241</v>
      </c>
      <c r="K69" s="35" t="s">
        <v>242</v>
      </c>
      <c r="L69" s="53">
        <v>0</v>
      </c>
      <c r="M69" s="51">
        <v>1800</v>
      </c>
      <c r="N69" s="51">
        <v>0</v>
      </c>
      <c r="O69" s="51">
        <v>0</v>
      </c>
      <c r="P69" s="51">
        <v>0</v>
      </c>
      <c r="Q69" s="47">
        <f t="shared" si="3"/>
        <v>1800</v>
      </c>
      <c r="R69" s="36"/>
      <c r="S69" s="46">
        <v>46278</v>
      </c>
    </row>
    <row r="70" spans="1:19" ht="23" customHeight="1" x14ac:dyDescent="0.35">
      <c r="A70" s="36"/>
      <c r="B70" s="23" t="s">
        <v>243</v>
      </c>
      <c r="C70" s="42">
        <v>2300751563</v>
      </c>
      <c r="D70" s="19" t="s">
        <v>77</v>
      </c>
      <c r="E70" s="19" t="s">
        <v>81</v>
      </c>
      <c r="F70" s="45">
        <v>40635</v>
      </c>
      <c r="G70" s="28" t="s">
        <v>244</v>
      </c>
      <c r="H70" s="28" t="s">
        <v>212</v>
      </c>
      <c r="I70" s="29" t="s">
        <v>245</v>
      </c>
      <c r="J70" s="42">
        <v>538834853</v>
      </c>
      <c r="K70" s="35" t="s">
        <v>246</v>
      </c>
      <c r="L70" s="53">
        <v>30</v>
      </c>
      <c r="M70" s="51">
        <v>2300</v>
      </c>
      <c r="N70" s="51">
        <v>0</v>
      </c>
      <c r="O70" s="51">
        <v>0</v>
      </c>
      <c r="P70" s="51">
        <v>700</v>
      </c>
      <c r="Q70" s="47">
        <f t="shared" si="3"/>
        <v>3000</v>
      </c>
      <c r="R70" s="36"/>
      <c r="S70" s="46">
        <v>46243</v>
      </c>
    </row>
    <row r="71" spans="1:19" ht="23" customHeight="1" x14ac:dyDescent="0.35">
      <c r="A71" s="36"/>
      <c r="B71" s="23" t="s">
        <v>247</v>
      </c>
      <c r="C71" s="42">
        <v>2165360732</v>
      </c>
      <c r="D71" s="19" t="s">
        <v>77</v>
      </c>
      <c r="E71" s="19" t="s">
        <v>82</v>
      </c>
      <c r="F71" s="45">
        <v>36976</v>
      </c>
      <c r="G71" s="28" t="s">
        <v>161</v>
      </c>
      <c r="H71" s="28" t="s">
        <v>162</v>
      </c>
      <c r="I71" s="29" t="s">
        <v>248</v>
      </c>
      <c r="J71" s="42">
        <v>538834853</v>
      </c>
      <c r="K71" s="35" t="s">
        <v>249</v>
      </c>
      <c r="L71" s="53">
        <v>90</v>
      </c>
      <c r="M71" s="51">
        <v>2500</v>
      </c>
      <c r="N71" s="51">
        <v>0</v>
      </c>
      <c r="O71" s="51">
        <v>0</v>
      </c>
      <c r="P71" s="51">
        <v>500</v>
      </c>
      <c r="Q71" s="47">
        <f t="shared" si="3"/>
        <v>3000</v>
      </c>
      <c r="R71" s="36"/>
      <c r="S71" s="46">
        <v>46253</v>
      </c>
    </row>
    <row r="72" spans="1:19" ht="23" customHeight="1" x14ac:dyDescent="0.35">
      <c r="A72" s="36"/>
      <c r="B72" s="23" t="s">
        <v>250</v>
      </c>
      <c r="C72" s="42">
        <v>2256496775</v>
      </c>
      <c r="D72" s="19" t="s">
        <v>77</v>
      </c>
      <c r="E72" s="19" t="s">
        <v>82</v>
      </c>
      <c r="F72" s="45">
        <v>39658</v>
      </c>
      <c r="G72" s="28" t="s">
        <v>163</v>
      </c>
      <c r="H72" s="28" t="s">
        <v>162</v>
      </c>
      <c r="I72" s="29" t="s">
        <v>251</v>
      </c>
      <c r="J72" s="42">
        <v>557303891</v>
      </c>
      <c r="K72" s="35" t="s">
        <v>252</v>
      </c>
      <c r="L72" s="53">
        <v>90</v>
      </c>
      <c r="M72" s="51">
        <v>1600</v>
      </c>
      <c r="N72" s="51">
        <v>0</v>
      </c>
      <c r="O72" s="51">
        <v>0</v>
      </c>
      <c r="P72" s="51">
        <v>300</v>
      </c>
      <c r="Q72" s="47">
        <f t="shared" si="3"/>
        <v>1900</v>
      </c>
      <c r="R72" s="36"/>
      <c r="S72" s="46">
        <v>46278</v>
      </c>
    </row>
    <row r="73" spans="1:19" ht="23" customHeight="1" x14ac:dyDescent="0.35">
      <c r="A73" s="36"/>
      <c r="B73" s="23" t="s">
        <v>253</v>
      </c>
      <c r="C73" s="42">
        <v>2256497179</v>
      </c>
      <c r="D73" s="19" t="s">
        <v>77</v>
      </c>
      <c r="E73" s="19" t="s">
        <v>82</v>
      </c>
      <c r="F73" s="45">
        <v>40119</v>
      </c>
      <c r="G73" s="28" t="s">
        <v>161</v>
      </c>
      <c r="H73" s="28" t="s">
        <v>162</v>
      </c>
      <c r="I73" s="29" t="s">
        <v>137</v>
      </c>
      <c r="J73" s="42">
        <v>590973991</v>
      </c>
      <c r="K73" s="35" t="s">
        <v>254</v>
      </c>
      <c r="L73" s="53">
        <v>90</v>
      </c>
      <c r="M73" s="51">
        <v>1900</v>
      </c>
      <c r="N73" s="51">
        <v>0</v>
      </c>
      <c r="O73" s="51">
        <v>0</v>
      </c>
      <c r="P73" s="51">
        <v>400</v>
      </c>
      <c r="Q73" s="47">
        <f t="shared" si="3"/>
        <v>2300</v>
      </c>
      <c r="R73" s="36"/>
      <c r="S73" s="46">
        <v>46278</v>
      </c>
    </row>
    <row r="74" spans="1:19" ht="23" customHeight="1" x14ac:dyDescent="0.35">
      <c r="A74" s="36"/>
      <c r="B74" s="23" t="s">
        <v>255</v>
      </c>
      <c r="C74" s="42">
        <v>2300752090</v>
      </c>
      <c r="D74" s="19" t="s">
        <v>77</v>
      </c>
      <c r="E74" s="19" t="s">
        <v>82</v>
      </c>
      <c r="F74" s="45">
        <v>40789</v>
      </c>
      <c r="G74" s="28" t="s">
        <v>235</v>
      </c>
      <c r="H74" s="28" t="s">
        <v>212</v>
      </c>
      <c r="I74" s="29" t="s">
        <v>213</v>
      </c>
      <c r="J74" s="42">
        <v>573204398</v>
      </c>
      <c r="K74" s="35" t="s">
        <v>256</v>
      </c>
      <c r="L74" s="53">
        <v>30</v>
      </c>
      <c r="M74" s="51">
        <v>1300</v>
      </c>
      <c r="N74" s="51">
        <v>0</v>
      </c>
      <c r="O74" s="51">
        <v>0</v>
      </c>
      <c r="P74" s="51">
        <v>600</v>
      </c>
      <c r="Q74" s="47">
        <f t="shared" si="3"/>
        <v>1900</v>
      </c>
      <c r="R74" s="36"/>
      <c r="S74" s="46">
        <v>46244</v>
      </c>
    </row>
    <row r="75" spans="1:19" ht="23" customHeight="1" x14ac:dyDescent="0.35">
      <c r="A75" s="36"/>
      <c r="B75" s="23" t="s">
        <v>257</v>
      </c>
      <c r="C75" s="42">
        <v>2442228090</v>
      </c>
      <c r="D75" s="19" t="s">
        <v>77</v>
      </c>
      <c r="E75" s="19" t="s">
        <v>86</v>
      </c>
      <c r="F75" s="45">
        <v>42898</v>
      </c>
      <c r="G75" s="28" t="s">
        <v>161</v>
      </c>
      <c r="H75" s="28" t="s">
        <v>162</v>
      </c>
      <c r="I75" s="29" t="s">
        <v>146</v>
      </c>
      <c r="J75" s="42">
        <v>537133782</v>
      </c>
      <c r="K75" s="35" t="s">
        <v>258</v>
      </c>
      <c r="L75" s="53">
        <v>30</v>
      </c>
      <c r="M75" s="51">
        <v>1500</v>
      </c>
      <c r="N75" s="51">
        <v>0</v>
      </c>
      <c r="O75" s="51">
        <v>0</v>
      </c>
      <c r="P75" s="51">
        <v>200</v>
      </c>
      <c r="Q75" s="47">
        <f t="shared" si="3"/>
        <v>1700</v>
      </c>
      <c r="R75" s="36"/>
      <c r="S75" s="46">
        <v>46275</v>
      </c>
    </row>
    <row r="76" spans="1:19" ht="23" customHeight="1" x14ac:dyDescent="0.35">
      <c r="A76" s="36"/>
      <c r="B76" s="23" t="s">
        <v>259</v>
      </c>
      <c r="C76" s="42">
        <v>2597471909</v>
      </c>
      <c r="D76" s="19" t="s">
        <v>77</v>
      </c>
      <c r="E76" s="19" t="s">
        <v>83</v>
      </c>
      <c r="F76" s="45">
        <v>45634</v>
      </c>
      <c r="G76" s="28" t="s">
        <v>161</v>
      </c>
      <c r="H76" s="28" t="s">
        <v>162</v>
      </c>
      <c r="I76" s="29" t="s">
        <v>139</v>
      </c>
      <c r="J76" s="42">
        <v>543242166</v>
      </c>
      <c r="K76" s="35" t="s">
        <v>260</v>
      </c>
      <c r="L76" s="53">
        <v>0</v>
      </c>
      <c r="M76" s="51">
        <v>2500</v>
      </c>
      <c r="N76" s="51">
        <v>0</v>
      </c>
      <c r="O76" s="51">
        <v>0</v>
      </c>
      <c r="P76" s="51">
        <v>0</v>
      </c>
      <c r="Q76" s="47">
        <f t="shared" si="3"/>
        <v>2500</v>
      </c>
      <c r="R76" s="36"/>
      <c r="S76" s="46">
        <v>46353</v>
      </c>
    </row>
    <row r="77" spans="1:19" ht="23" customHeight="1" x14ac:dyDescent="0.35">
      <c r="A77" s="36"/>
      <c r="B77" s="23" t="s">
        <v>261</v>
      </c>
      <c r="C77" s="42">
        <v>2467545568</v>
      </c>
      <c r="D77" s="19" t="s">
        <v>77</v>
      </c>
      <c r="E77" s="19" t="s">
        <v>84</v>
      </c>
      <c r="F77" s="45">
        <v>43580</v>
      </c>
      <c r="G77" s="28" t="s">
        <v>161</v>
      </c>
      <c r="H77" s="28" t="s">
        <v>212</v>
      </c>
      <c r="I77" s="29" t="s">
        <v>139</v>
      </c>
      <c r="J77" s="42">
        <v>533466873</v>
      </c>
      <c r="K77" s="35" t="s">
        <v>262</v>
      </c>
      <c r="L77" s="53">
        <v>30</v>
      </c>
      <c r="M77" s="51">
        <v>1000</v>
      </c>
      <c r="N77" s="51">
        <v>200</v>
      </c>
      <c r="O77" s="51">
        <v>0</v>
      </c>
      <c r="P77" s="51">
        <v>500</v>
      </c>
      <c r="Q77" s="47">
        <f t="shared" si="3"/>
        <v>1700</v>
      </c>
      <c r="R77" s="36"/>
      <c r="S77" s="46">
        <v>46239</v>
      </c>
    </row>
    <row r="78" spans="1:19" ht="23" customHeight="1" x14ac:dyDescent="0.35">
      <c r="A78" s="36"/>
      <c r="B78" s="23" t="s">
        <v>263</v>
      </c>
      <c r="C78" s="42">
        <v>2455183125</v>
      </c>
      <c r="D78" s="19" t="s">
        <v>77</v>
      </c>
      <c r="E78" s="19" t="s">
        <v>83</v>
      </c>
      <c r="F78" s="45">
        <v>43242</v>
      </c>
      <c r="G78" s="28" t="s">
        <v>161</v>
      </c>
      <c r="H78" s="28" t="s">
        <v>212</v>
      </c>
      <c r="I78" s="29" t="s">
        <v>139</v>
      </c>
      <c r="J78" s="42">
        <v>501669824</v>
      </c>
      <c r="K78" s="35" t="s">
        <v>264</v>
      </c>
      <c r="L78" s="53">
        <v>0</v>
      </c>
      <c r="M78" s="51">
        <v>2400</v>
      </c>
      <c r="N78" s="51">
        <v>0</v>
      </c>
      <c r="O78" s="51">
        <v>0</v>
      </c>
      <c r="P78" s="51">
        <v>0</v>
      </c>
      <c r="Q78" s="47">
        <f t="shared" si="3"/>
        <v>2400</v>
      </c>
      <c r="R78" s="36"/>
      <c r="S78" s="46">
        <v>46280</v>
      </c>
    </row>
    <row r="79" spans="1:19" ht="23" customHeight="1" x14ac:dyDescent="0.35">
      <c r="A79" s="36"/>
      <c r="B79" s="23" t="s">
        <v>265</v>
      </c>
      <c r="C79" s="42">
        <v>2467149239</v>
      </c>
      <c r="D79" s="19" t="s">
        <v>77</v>
      </c>
      <c r="E79" s="19" t="s">
        <v>86</v>
      </c>
      <c r="F79" s="45">
        <v>43580</v>
      </c>
      <c r="G79" s="28" t="s">
        <v>235</v>
      </c>
      <c r="H79" s="28" t="s">
        <v>212</v>
      </c>
      <c r="I79" s="29" t="s">
        <v>139</v>
      </c>
      <c r="J79" s="42">
        <v>570025712</v>
      </c>
      <c r="K79" s="35" t="s">
        <v>266</v>
      </c>
      <c r="L79" s="53">
        <v>30</v>
      </c>
      <c r="M79" s="51">
        <v>1500</v>
      </c>
      <c r="N79" s="51">
        <v>0</v>
      </c>
      <c r="O79" s="51">
        <v>0</v>
      </c>
      <c r="P79" s="51">
        <v>200</v>
      </c>
      <c r="Q79" s="47">
        <f t="shared" si="3"/>
        <v>1700</v>
      </c>
      <c r="R79" s="36"/>
      <c r="S79" s="46">
        <v>46280</v>
      </c>
    </row>
    <row r="80" spans="1:19" ht="23" customHeight="1" x14ac:dyDescent="0.35">
      <c r="A80" s="36"/>
      <c r="B80" s="23" t="s">
        <v>267</v>
      </c>
      <c r="C80" s="42">
        <v>1106795105</v>
      </c>
      <c r="D80" s="19" t="s">
        <v>77</v>
      </c>
      <c r="E80" s="19" t="s">
        <v>85</v>
      </c>
      <c r="F80" s="45">
        <v>45286</v>
      </c>
      <c r="G80" s="28" t="s">
        <v>161</v>
      </c>
      <c r="H80" s="28" t="s">
        <v>212</v>
      </c>
      <c r="I80" s="29" t="s">
        <v>147</v>
      </c>
      <c r="J80" s="42">
        <v>549492179</v>
      </c>
      <c r="K80" s="35" t="s">
        <v>268</v>
      </c>
      <c r="L80" s="53">
        <v>15</v>
      </c>
      <c r="M80" s="51">
        <v>4000</v>
      </c>
      <c r="N80" s="51">
        <v>0</v>
      </c>
      <c r="O80" s="51">
        <v>0</v>
      </c>
      <c r="P80" s="51">
        <v>200</v>
      </c>
      <c r="Q80" s="47">
        <f t="shared" si="3"/>
        <v>4200</v>
      </c>
      <c r="R80" s="36"/>
      <c r="S80" s="46"/>
    </row>
    <row r="81" spans="1:19" ht="23" customHeight="1" x14ac:dyDescent="0.35">
      <c r="A81" s="36"/>
      <c r="B81" s="23" t="s">
        <v>269</v>
      </c>
      <c r="C81" s="42">
        <v>2377526534</v>
      </c>
      <c r="D81" s="19" t="s">
        <v>77</v>
      </c>
      <c r="E81" s="19" t="s">
        <v>83</v>
      </c>
      <c r="F81" s="45">
        <v>43605</v>
      </c>
      <c r="G81" s="28" t="s">
        <v>161</v>
      </c>
      <c r="H81" s="28" t="s">
        <v>162</v>
      </c>
      <c r="I81" s="29" t="s">
        <v>270</v>
      </c>
      <c r="J81" s="42">
        <v>534265376</v>
      </c>
      <c r="K81" s="35" t="s">
        <v>271</v>
      </c>
      <c r="L81" s="53">
        <v>0</v>
      </c>
      <c r="M81" s="51">
        <v>1300</v>
      </c>
      <c r="N81" s="51">
        <v>500</v>
      </c>
      <c r="O81" s="51">
        <v>0</v>
      </c>
      <c r="P81" s="51">
        <v>600</v>
      </c>
      <c r="Q81" s="47">
        <f t="shared" si="3"/>
        <v>2400</v>
      </c>
      <c r="R81" s="36"/>
      <c r="S81" s="46">
        <v>46319</v>
      </c>
    </row>
    <row r="82" spans="1:19" ht="23" customHeight="1" x14ac:dyDescent="0.35">
      <c r="A82" s="36"/>
      <c r="B82" s="23" t="s">
        <v>272</v>
      </c>
      <c r="C82" s="42">
        <v>2332837232</v>
      </c>
      <c r="D82" s="19" t="s">
        <v>77</v>
      </c>
      <c r="E82" s="19" t="s">
        <v>80</v>
      </c>
      <c r="F82" s="45">
        <v>43055</v>
      </c>
      <c r="G82" s="28" t="s">
        <v>244</v>
      </c>
      <c r="H82" s="28" t="s">
        <v>212</v>
      </c>
      <c r="I82" s="29" t="s">
        <v>157</v>
      </c>
      <c r="J82" s="42">
        <v>543589626</v>
      </c>
      <c r="K82" s="35" t="s">
        <v>273</v>
      </c>
      <c r="L82" s="53">
        <v>60</v>
      </c>
      <c r="M82" s="51">
        <v>1800</v>
      </c>
      <c r="N82" s="51">
        <v>0</v>
      </c>
      <c r="O82" s="51">
        <v>0</v>
      </c>
      <c r="P82" s="51">
        <v>0</v>
      </c>
      <c r="Q82" s="47">
        <f t="shared" si="3"/>
        <v>1800</v>
      </c>
      <c r="R82" s="36"/>
      <c r="S82" s="46">
        <v>46234</v>
      </c>
    </row>
    <row r="83" spans="1:19" ht="23" customHeight="1" x14ac:dyDescent="0.35">
      <c r="A83" s="36"/>
      <c r="B83" s="23" t="s">
        <v>274</v>
      </c>
      <c r="C83" s="42">
        <v>2534953621</v>
      </c>
      <c r="D83" s="19" t="s">
        <v>77</v>
      </c>
      <c r="E83" s="19" t="s">
        <v>228</v>
      </c>
      <c r="F83" s="45">
        <v>44910</v>
      </c>
      <c r="G83" s="28" t="s">
        <v>275</v>
      </c>
      <c r="H83" s="28" t="s">
        <v>276</v>
      </c>
      <c r="I83" s="29" t="s">
        <v>136</v>
      </c>
      <c r="J83" s="42">
        <v>551902379</v>
      </c>
      <c r="K83" s="35" t="s">
        <v>277</v>
      </c>
      <c r="L83" s="53">
        <v>0</v>
      </c>
      <c r="M83" s="51">
        <v>1800</v>
      </c>
      <c r="N83" s="51">
        <v>0</v>
      </c>
      <c r="O83" s="51">
        <v>0</v>
      </c>
      <c r="P83" s="51">
        <v>0</v>
      </c>
      <c r="Q83" s="47">
        <f t="shared" si="3"/>
        <v>1800</v>
      </c>
      <c r="R83" s="36"/>
      <c r="S83" s="46">
        <v>46342</v>
      </c>
    </row>
    <row r="84" spans="1:19" ht="23" customHeight="1" x14ac:dyDescent="0.35">
      <c r="A84" s="36"/>
      <c r="B84" s="23" t="s">
        <v>278</v>
      </c>
      <c r="C84" s="42">
        <v>2497963237</v>
      </c>
      <c r="D84" s="19" t="s">
        <v>77</v>
      </c>
      <c r="E84" s="19" t="s">
        <v>279</v>
      </c>
      <c r="F84" s="45">
        <v>45012</v>
      </c>
      <c r="G84" s="28" t="s">
        <v>160</v>
      </c>
      <c r="H84" s="28" t="s">
        <v>160</v>
      </c>
      <c r="I84" s="29" t="s">
        <v>280</v>
      </c>
      <c r="J84" s="42">
        <v>566809634</v>
      </c>
      <c r="K84" s="35" t="s">
        <v>281</v>
      </c>
      <c r="L84" s="53">
        <v>0</v>
      </c>
      <c r="M84" s="51">
        <v>1800</v>
      </c>
      <c r="N84" s="51">
        <v>0</v>
      </c>
      <c r="O84" s="51">
        <v>0</v>
      </c>
      <c r="P84" s="51">
        <v>0</v>
      </c>
      <c r="Q84" s="47">
        <f t="shared" si="3"/>
        <v>1800</v>
      </c>
      <c r="R84" s="36"/>
      <c r="S84" s="46">
        <v>46280</v>
      </c>
    </row>
    <row r="85" spans="1:19" ht="23" customHeight="1" x14ac:dyDescent="0.35">
      <c r="A85" s="36"/>
      <c r="B85" s="23" t="s">
        <v>282</v>
      </c>
      <c r="C85" s="42">
        <v>2431370739</v>
      </c>
      <c r="D85" s="19" t="s">
        <v>77</v>
      </c>
      <c r="E85" s="19" t="s">
        <v>279</v>
      </c>
      <c r="F85" s="45">
        <v>44635</v>
      </c>
      <c r="G85" s="28" t="s">
        <v>235</v>
      </c>
      <c r="H85" s="28" t="s">
        <v>212</v>
      </c>
      <c r="I85" s="29" t="s">
        <v>219</v>
      </c>
      <c r="J85" s="42">
        <v>553089330</v>
      </c>
      <c r="K85" s="35" t="s">
        <v>283</v>
      </c>
      <c r="L85" s="53">
        <v>0</v>
      </c>
      <c r="M85" s="51">
        <v>2000</v>
      </c>
      <c r="N85" s="51">
        <v>0</v>
      </c>
      <c r="O85" s="51">
        <v>0</v>
      </c>
      <c r="P85" s="51">
        <v>2200</v>
      </c>
      <c r="Q85" s="47">
        <f t="shared" si="3"/>
        <v>4200</v>
      </c>
      <c r="R85" s="36"/>
      <c r="S85" s="46">
        <v>46289</v>
      </c>
    </row>
    <row r="86" spans="1:19" ht="23" customHeight="1" x14ac:dyDescent="0.35">
      <c r="A86" s="36"/>
      <c r="B86" s="23" t="s">
        <v>284</v>
      </c>
      <c r="C86" s="42">
        <v>2522358940</v>
      </c>
      <c r="D86" s="19" t="s">
        <v>77</v>
      </c>
      <c r="E86" s="19" t="s">
        <v>285</v>
      </c>
      <c r="F86" s="45">
        <v>44773</v>
      </c>
      <c r="G86" s="28" t="s">
        <v>161</v>
      </c>
      <c r="H86" s="28" t="s">
        <v>212</v>
      </c>
      <c r="I86" s="29" t="s">
        <v>139</v>
      </c>
      <c r="J86" s="42">
        <v>572591881</v>
      </c>
      <c r="K86" s="35" t="s">
        <v>286</v>
      </c>
      <c r="L86" s="53">
        <v>21</v>
      </c>
      <c r="M86" s="51">
        <v>1600</v>
      </c>
      <c r="N86" s="51">
        <v>0</v>
      </c>
      <c r="O86" s="51">
        <v>0</v>
      </c>
      <c r="P86" s="51">
        <v>0</v>
      </c>
      <c r="Q86" s="47">
        <f t="shared" si="3"/>
        <v>1600</v>
      </c>
      <c r="R86" s="36"/>
      <c r="S86" s="46">
        <v>46293</v>
      </c>
    </row>
    <row r="87" spans="1:19" ht="23" customHeight="1" x14ac:dyDescent="0.35">
      <c r="A87" s="36"/>
      <c r="B87" s="23" t="s">
        <v>287</v>
      </c>
      <c r="C87" s="42">
        <v>2520369931</v>
      </c>
      <c r="D87" s="19" t="s">
        <v>77</v>
      </c>
      <c r="E87" s="19" t="s">
        <v>285</v>
      </c>
      <c r="F87" s="45">
        <v>44773</v>
      </c>
      <c r="G87" s="28" t="s">
        <v>161</v>
      </c>
      <c r="H87" s="28" t="s">
        <v>229</v>
      </c>
      <c r="I87" s="29" t="s">
        <v>139</v>
      </c>
      <c r="J87" s="42">
        <v>572673746</v>
      </c>
      <c r="K87" s="35" t="s">
        <v>288</v>
      </c>
      <c r="L87" s="53">
        <v>84</v>
      </c>
      <c r="M87" s="51">
        <v>1700</v>
      </c>
      <c r="N87" s="51">
        <v>0</v>
      </c>
      <c r="O87" s="51">
        <v>0</v>
      </c>
      <c r="P87" s="51">
        <v>0</v>
      </c>
      <c r="Q87" s="47">
        <f t="shared" si="3"/>
        <v>1700</v>
      </c>
      <c r="R87" s="36"/>
      <c r="S87" s="46">
        <v>46293</v>
      </c>
    </row>
    <row r="88" spans="1:19" ht="23" customHeight="1" x14ac:dyDescent="0.35">
      <c r="A88" s="36"/>
      <c r="B88" s="23" t="s">
        <v>289</v>
      </c>
      <c r="C88" s="42">
        <v>2391840614</v>
      </c>
      <c r="D88" s="19" t="s">
        <v>77</v>
      </c>
      <c r="E88" s="19" t="s">
        <v>290</v>
      </c>
      <c r="F88" s="45">
        <v>42196</v>
      </c>
      <c r="G88" s="28" t="s">
        <v>160</v>
      </c>
      <c r="H88" s="28" t="s">
        <v>160</v>
      </c>
      <c r="I88" s="29" t="s">
        <v>140</v>
      </c>
      <c r="J88" s="42">
        <v>581805021</v>
      </c>
      <c r="K88" s="35" t="s">
        <v>291</v>
      </c>
      <c r="L88" s="53">
        <v>0</v>
      </c>
      <c r="M88" s="51">
        <v>1300</v>
      </c>
      <c r="N88" s="51">
        <v>0</v>
      </c>
      <c r="O88" s="51">
        <v>0</v>
      </c>
      <c r="P88" s="51">
        <v>600</v>
      </c>
      <c r="Q88" s="47">
        <f t="shared" si="3"/>
        <v>1900</v>
      </c>
      <c r="R88" s="36"/>
      <c r="S88" s="46">
        <v>46297</v>
      </c>
    </row>
    <row r="89" spans="1:19" ht="23" customHeight="1" x14ac:dyDescent="0.35">
      <c r="A89" s="36"/>
      <c r="B89" s="23" t="s">
        <v>292</v>
      </c>
      <c r="C89" s="42" t="s">
        <v>293</v>
      </c>
      <c r="D89" s="19" t="s">
        <v>77</v>
      </c>
      <c r="E89" s="19" t="s">
        <v>290</v>
      </c>
      <c r="F89" s="45">
        <v>42196</v>
      </c>
      <c r="G89" s="28" t="s">
        <v>160</v>
      </c>
      <c r="H89" s="28" t="s">
        <v>160</v>
      </c>
      <c r="I89" s="29" t="s">
        <v>145</v>
      </c>
      <c r="J89" s="42">
        <v>581813082</v>
      </c>
      <c r="K89" s="35" t="s">
        <v>294</v>
      </c>
      <c r="L89" s="53">
        <v>30</v>
      </c>
      <c r="M89" s="51">
        <v>1800</v>
      </c>
      <c r="N89" s="51">
        <v>0</v>
      </c>
      <c r="O89" s="51">
        <v>0</v>
      </c>
      <c r="P89" s="51">
        <v>0</v>
      </c>
      <c r="Q89" s="47">
        <f t="shared" si="3"/>
        <v>1800</v>
      </c>
      <c r="R89" s="36"/>
      <c r="S89" s="46">
        <v>46297</v>
      </c>
    </row>
    <row r="90" spans="1:19" ht="23" customHeight="1" x14ac:dyDescent="0.35">
      <c r="A90" s="36"/>
      <c r="B90" s="23" t="s">
        <v>295</v>
      </c>
      <c r="C90" s="42">
        <v>1115641464</v>
      </c>
      <c r="D90" s="19" t="s">
        <v>76</v>
      </c>
      <c r="E90" s="19" t="s">
        <v>197</v>
      </c>
      <c r="F90" s="45">
        <v>45495</v>
      </c>
      <c r="G90" s="28" t="s">
        <v>161</v>
      </c>
      <c r="H90" s="28" t="s">
        <v>212</v>
      </c>
      <c r="I90" s="29" t="s">
        <v>296</v>
      </c>
      <c r="J90" s="42">
        <v>565772522</v>
      </c>
      <c r="K90" s="35" t="s">
        <v>297</v>
      </c>
      <c r="L90" s="53">
        <v>18</v>
      </c>
      <c r="M90" s="51">
        <v>4000</v>
      </c>
      <c r="N90" s="51">
        <v>0</v>
      </c>
      <c r="O90" s="51">
        <v>0</v>
      </c>
      <c r="P90" s="51">
        <v>0</v>
      </c>
      <c r="Q90" s="47">
        <f t="shared" si="3"/>
        <v>4000</v>
      </c>
      <c r="R90" s="36"/>
      <c r="S90" s="46"/>
    </row>
    <row r="91" spans="1:19" ht="23" customHeight="1" x14ac:dyDescent="0.35">
      <c r="A91" s="36"/>
      <c r="B91" s="23" t="s">
        <v>298</v>
      </c>
      <c r="C91" s="42">
        <v>2416350680</v>
      </c>
      <c r="D91" s="19" t="s">
        <v>77</v>
      </c>
      <c r="E91" s="19" t="s">
        <v>299</v>
      </c>
      <c r="F91" s="45">
        <v>42849</v>
      </c>
      <c r="G91" s="28" t="s">
        <v>275</v>
      </c>
      <c r="H91" s="28" t="s">
        <v>300</v>
      </c>
      <c r="I91" s="29" t="s">
        <v>301</v>
      </c>
      <c r="J91" s="42">
        <v>538696620</v>
      </c>
      <c r="K91" s="35" t="s">
        <v>302</v>
      </c>
      <c r="L91" s="53">
        <v>60</v>
      </c>
      <c r="M91" s="51">
        <v>1500</v>
      </c>
      <c r="N91" s="51">
        <v>0</v>
      </c>
      <c r="O91" s="51">
        <v>0</v>
      </c>
      <c r="P91" s="51">
        <v>400</v>
      </c>
      <c r="Q91" s="47">
        <f t="shared" ref="Q91:Q122" si="4">IF(COUNT(M91:P91)=0,"",SUM(M91:P91))</f>
        <v>1900</v>
      </c>
      <c r="R91" s="36"/>
      <c r="S91" s="46">
        <v>46225</v>
      </c>
    </row>
    <row r="92" spans="1:19" ht="23" customHeight="1" x14ac:dyDescent="0.35">
      <c r="A92" s="36"/>
      <c r="B92" s="23" t="s">
        <v>303</v>
      </c>
      <c r="C92" s="42">
        <v>2378089417</v>
      </c>
      <c r="D92" s="19" t="s">
        <v>77</v>
      </c>
      <c r="E92" s="19" t="s">
        <v>234</v>
      </c>
      <c r="F92" s="45">
        <v>41985</v>
      </c>
      <c r="G92" s="28" t="s">
        <v>235</v>
      </c>
      <c r="H92" s="28" t="s">
        <v>212</v>
      </c>
      <c r="I92" s="29" t="s">
        <v>139</v>
      </c>
      <c r="J92" s="42">
        <v>598491866</v>
      </c>
      <c r="K92" s="35" t="s">
        <v>304</v>
      </c>
      <c r="L92" s="53">
        <v>120</v>
      </c>
      <c r="M92" s="51">
        <v>1100</v>
      </c>
      <c r="N92" s="51">
        <v>0</v>
      </c>
      <c r="O92" s="51">
        <v>0</v>
      </c>
      <c r="P92" s="51">
        <v>700</v>
      </c>
      <c r="Q92" s="47">
        <f t="shared" si="4"/>
        <v>1800</v>
      </c>
      <c r="R92" s="36"/>
      <c r="S92" s="46">
        <v>46260</v>
      </c>
    </row>
    <row r="93" spans="1:19" ht="23" customHeight="1" x14ac:dyDescent="0.35">
      <c r="A93" s="36"/>
      <c r="B93" s="23" t="s">
        <v>305</v>
      </c>
      <c r="C93" s="42">
        <v>2544525674</v>
      </c>
      <c r="D93" s="19" t="s">
        <v>77</v>
      </c>
      <c r="E93" s="19" t="s">
        <v>306</v>
      </c>
      <c r="F93" s="45">
        <v>44915</v>
      </c>
      <c r="G93" s="28" t="s">
        <v>163</v>
      </c>
      <c r="H93" s="28" t="s">
        <v>229</v>
      </c>
      <c r="I93" s="29" t="s">
        <v>136</v>
      </c>
      <c r="J93" s="42">
        <v>558262270</v>
      </c>
      <c r="K93" s="35" t="s">
        <v>307</v>
      </c>
      <c r="L93" s="53">
        <v>21</v>
      </c>
      <c r="M93" s="51">
        <v>1700</v>
      </c>
      <c r="N93" s="51">
        <v>0</v>
      </c>
      <c r="O93" s="51">
        <v>0</v>
      </c>
      <c r="P93" s="51">
        <v>0</v>
      </c>
      <c r="Q93" s="47">
        <f t="shared" si="4"/>
        <v>1700</v>
      </c>
      <c r="R93" s="36"/>
      <c r="S93" s="46">
        <v>46293</v>
      </c>
    </row>
    <row r="94" spans="1:19" ht="23" customHeight="1" x14ac:dyDescent="0.35">
      <c r="A94" s="36"/>
      <c r="B94" s="23" t="s">
        <v>308</v>
      </c>
      <c r="C94" s="42">
        <v>2391081326</v>
      </c>
      <c r="D94" s="19" t="s">
        <v>77</v>
      </c>
      <c r="E94" s="19" t="s">
        <v>290</v>
      </c>
      <c r="F94" s="45">
        <v>42196</v>
      </c>
      <c r="G94" s="28" t="s">
        <v>275</v>
      </c>
      <c r="H94" s="28" t="s">
        <v>276</v>
      </c>
      <c r="I94" s="29" t="s">
        <v>309</v>
      </c>
      <c r="J94" s="42">
        <v>592295729</v>
      </c>
      <c r="K94" s="35" t="s">
        <v>310</v>
      </c>
      <c r="L94" s="53">
        <v>30</v>
      </c>
      <c r="M94" s="51">
        <v>2000</v>
      </c>
      <c r="N94" s="51">
        <v>0</v>
      </c>
      <c r="O94" s="51">
        <v>0</v>
      </c>
      <c r="P94" s="51">
        <v>0</v>
      </c>
      <c r="Q94" s="47">
        <f t="shared" si="4"/>
        <v>2000</v>
      </c>
      <c r="R94" s="36"/>
      <c r="S94" s="46">
        <v>46297</v>
      </c>
    </row>
    <row r="95" spans="1:19" ht="23" customHeight="1" x14ac:dyDescent="0.35">
      <c r="A95" s="36"/>
      <c r="B95" s="23" t="s">
        <v>311</v>
      </c>
      <c r="C95" s="42">
        <v>2573815988</v>
      </c>
      <c r="D95" s="19" t="s">
        <v>77</v>
      </c>
      <c r="E95" s="19" t="s">
        <v>279</v>
      </c>
      <c r="F95" s="45">
        <v>45418</v>
      </c>
      <c r="G95" s="28" t="s">
        <v>161</v>
      </c>
      <c r="H95" s="28" t="s">
        <v>162</v>
      </c>
      <c r="I95" s="29" t="s">
        <v>137</v>
      </c>
      <c r="J95" s="42">
        <v>548735969</v>
      </c>
      <c r="K95" s="35" t="s">
        <v>312</v>
      </c>
      <c r="L95" s="53">
        <v>0</v>
      </c>
      <c r="M95" s="51">
        <v>4000</v>
      </c>
      <c r="N95" s="51">
        <v>0</v>
      </c>
      <c r="O95" s="51">
        <v>0</v>
      </c>
      <c r="P95" s="51">
        <v>0</v>
      </c>
      <c r="Q95" s="47">
        <f t="shared" si="4"/>
        <v>4000</v>
      </c>
      <c r="R95" s="36"/>
      <c r="S95" s="46">
        <v>46316</v>
      </c>
    </row>
    <row r="96" spans="1:19" ht="23" customHeight="1" x14ac:dyDescent="0.35">
      <c r="A96" s="36"/>
      <c r="B96" s="23" t="s">
        <v>313</v>
      </c>
      <c r="C96" s="42">
        <v>1120256498</v>
      </c>
      <c r="D96" s="19" t="s">
        <v>77</v>
      </c>
      <c r="E96" s="19" t="s">
        <v>85</v>
      </c>
      <c r="F96" s="45">
        <v>45699</v>
      </c>
      <c r="G96" s="28" t="s">
        <v>161</v>
      </c>
      <c r="H96" s="28" t="s">
        <v>314</v>
      </c>
      <c r="I96" s="29" t="s">
        <v>315</v>
      </c>
      <c r="J96" s="42">
        <v>590406658</v>
      </c>
      <c r="K96" s="35" t="s">
        <v>316</v>
      </c>
      <c r="L96" s="53">
        <v>1</v>
      </c>
      <c r="M96" s="51">
        <v>4000</v>
      </c>
      <c r="N96" s="51">
        <v>0</v>
      </c>
      <c r="O96" s="51">
        <v>0</v>
      </c>
      <c r="P96" s="51">
        <v>0</v>
      </c>
      <c r="Q96" s="47">
        <f t="shared" si="4"/>
        <v>4000</v>
      </c>
      <c r="R96" s="36"/>
      <c r="S96" s="46"/>
    </row>
    <row r="97" spans="1:19" ht="23" customHeight="1" x14ac:dyDescent="0.35">
      <c r="A97" s="36"/>
      <c r="B97" s="23" t="s">
        <v>317</v>
      </c>
      <c r="C97" s="42">
        <v>1052910237</v>
      </c>
      <c r="D97" s="19" t="s">
        <v>76</v>
      </c>
      <c r="E97" s="19" t="s">
        <v>79</v>
      </c>
      <c r="F97" s="45">
        <v>44720</v>
      </c>
      <c r="G97" s="28" t="s">
        <v>19</v>
      </c>
      <c r="H97" s="28" t="s">
        <v>19</v>
      </c>
      <c r="I97" s="29" t="s">
        <v>318</v>
      </c>
      <c r="J97" s="42">
        <v>550787712</v>
      </c>
      <c r="K97" s="35" t="s">
        <v>319</v>
      </c>
      <c r="L97" s="53">
        <v>84</v>
      </c>
      <c r="M97" s="51">
        <v>4000</v>
      </c>
      <c r="N97" s="51">
        <v>0</v>
      </c>
      <c r="O97" s="51">
        <v>0</v>
      </c>
      <c r="P97" s="51">
        <v>0</v>
      </c>
      <c r="Q97" s="47">
        <f t="shared" si="4"/>
        <v>4000</v>
      </c>
      <c r="R97" s="36"/>
      <c r="S97" s="46"/>
    </row>
    <row r="98" spans="1:19" ht="23" customHeight="1" x14ac:dyDescent="0.35">
      <c r="A98" s="36"/>
      <c r="B98" s="23" t="s">
        <v>320</v>
      </c>
      <c r="C98" s="42">
        <v>2532635725</v>
      </c>
      <c r="D98" s="19" t="s">
        <v>77</v>
      </c>
      <c r="E98" s="19" t="s">
        <v>83</v>
      </c>
      <c r="F98" s="45">
        <v>44870</v>
      </c>
      <c r="G98" s="28" t="s">
        <v>321</v>
      </c>
      <c r="H98" s="28" t="s">
        <v>162</v>
      </c>
      <c r="I98" s="29" t="s">
        <v>137</v>
      </c>
      <c r="J98" s="42">
        <v>582163097</v>
      </c>
      <c r="K98" s="35" t="s">
        <v>322</v>
      </c>
      <c r="L98" s="53">
        <v>0</v>
      </c>
      <c r="M98" s="51">
        <v>2300</v>
      </c>
      <c r="N98" s="51">
        <v>0</v>
      </c>
      <c r="O98" s="51">
        <v>0</v>
      </c>
      <c r="P98" s="51">
        <v>0</v>
      </c>
      <c r="Q98" s="47">
        <f t="shared" si="4"/>
        <v>2300</v>
      </c>
      <c r="R98" s="36"/>
      <c r="S98" s="46">
        <v>46308</v>
      </c>
    </row>
    <row r="99" spans="1:19" ht="23" customHeight="1" x14ac:dyDescent="0.35">
      <c r="A99" s="36"/>
      <c r="B99" s="23" t="s">
        <v>323</v>
      </c>
      <c r="C99" s="42">
        <v>2413158649</v>
      </c>
      <c r="D99" s="19" t="s">
        <v>77</v>
      </c>
      <c r="E99" s="19" t="s">
        <v>299</v>
      </c>
      <c r="F99" s="45">
        <v>44303</v>
      </c>
      <c r="G99" s="28" t="s">
        <v>161</v>
      </c>
      <c r="H99" s="28" t="s">
        <v>212</v>
      </c>
      <c r="I99" s="29" t="s">
        <v>139</v>
      </c>
      <c r="J99" s="42">
        <v>578417163</v>
      </c>
      <c r="K99" s="35" t="s">
        <v>324</v>
      </c>
      <c r="L99" s="53">
        <v>42</v>
      </c>
      <c r="M99" s="51">
        <v>1800</v>
      </c>
      <c r="N99" s="51">
        <v>0</v>
      </c>
      <c r="O99" s="51">
        <v>0</v>
      </c>
      <c r="P99" s="51">
        <v>0</v>
      </c>
      <c r="Q99" s="47">
        <f t="shared" si="4"/>
        <v>1800</v>
      </c>
      <c r="R99" s="36"/>
      <c r="S99" s="46">
        <v>46253</v>
      </c>
    </row>
    <row r="100" spans="1:19" ht="23" customHeight="1" x14ac:dyDescent="0.35">
      <c r="A100" s="36"/>
      <c r="B100" s="23" t="s">
        <v>325</v>
      </c>
      <c r="C100" s="42">
        <v>2573815962</v>
      </c>
      <c r="D100" s="19" t="s">
        <v>77</v>
      </c>
      <c r="E100" s="19" t="s">
        <v>83</v>
      </c>
      <c r="F100" s="45">
        <v>45418</v>
      </c>
      <c r="G100" s="28" t="s">
        <v>161</v>
      </c>
      <c r="H100" s="28" t="s">
        <v>162</v>
      </c>
      <c r="I100" s="29" t="s">
        <v>137</v>
      </c>
      <c r="J100" s="42">
        <v>549690347</v>
      </c>
      <c r="K100" s="35" t="s">
        <v>326</v>
      </c>
      <c r="L100" s="53">
        <v>21</v>
      </c>
      <c r="M100" s="51">
        <v>3000</v>
      </c>
      <c r="N100" s="51">
        <v>0</v>
      </c>
      <c r="O100" s="51">
        <v>0</v>
      </c>
      <c r="P100" s="51">
        <v>0</v>
      </c>
      <c r="Q100" s="47">
        <f t="shared" si="4"/>
        <v>3000</v>
      </c>
      <c r="R100" s="36"/>
      <c r="S100" s="46">
        <v>46316</v>
      </c>
    </row>
    <row r="101" spans="1:19" ht="23" customHeight="1" x14ac:dyDescent="0.35">
      <c r="A101" s="36"/>
      <c r="B101" s="23" t="s">
        <v>327</v>
      </c>
      <c r="C101" s="42">
        <v>1055798134</v>
      </c>
      <c r="D101" s="19" t="s">
        <v>77</v>
      </c>
      <c r="E101" s="19" t="s">
        <v>85</v>
      </c>
      <c r="F101" s="45">
        <v>42644</v>
      </c>
      <c r="G101" s="28" t="s">
        <v>19</v>
      </c>
      <c r="H101" s="28" t="s">
        <v>19</v>
      </c>
      <c r="I101" s="29" t="s">
        <v>328</v>
      </c>
      <c r="J101" s="42">
        <v>545300003</v>
      </c>
      <c r="K101" s="35" t="s">
        <v>329</v>
      </c>
      <c r="L101" s="53">
        <v>172</v>
      </c>
      <c r="M101" s="51">
        <v>10000</v>
      </c>
      <c r="N101" s="51">
        <v>0</v>
      </c>
      <c r="O101" s="51">
        <v>0</v>
      </c>
      <c r="P101" s="51">
        <v>0</v>
      </c>
      <c r="Q101" s="47">
        <f t="shared" si="4"/>
        <v>10000</v>
      </c>
      <c r="R101" s="36"/>
      <c r="S101" s="46"/>
    </row>
    <row r="102" spans="1:19" ht="23" customHeight="1" x14ac:dyDescent="0.35">
      <c r="A102" s="36"/>
      <c r="B102" s="23" t="s">
        <v>330</v>
      </c>
      <c r="C102" s="42">
        <v>1078289384</v>
      </c>
      <c r="D102" s="19" t="s">
        <v>77</v>
      </c>
      <c r="E102" s="19" t="s">
        <v>85</v>
      </c>
      <c r="F102" s="45">
        <v>44514</v>
      </c>
      <c r="G102" s="28" t="s">
        <v>163</v>
      </c>
      <c r="H102" s="28" t="s">
        <v>314</v>
      </c>
      <c r="I102" s="29" t="s">
        <v>315</v>
      </c>
      <c r="J102" s="42">
        <v>530590521</v>
      </c>
      <c r="K102" s="35" t="s">
        <v>331</v>
      </c>
      <c r="L102" s="53">
        <v>20</v>
      </c>
      <c r="M102" s="51">
        <v>4000</v>
      </c>
      <c r="N102" s="51">
        <v>0</v>
      </c>
      <c r="O102" s="51">
        <v>0</v>
      </c>
      <c r="P102" s="51">
        <v>0</v>
      </c>
      <c r="Q102" s="47">
        <f t="shared" si="4"/>
        <v>4000</v>
      </c>
      <c r="R102" s="36"/>
      <c r="S102" s="46"/>
    </row>
    <row r="103" spans="1:19" ht="23" customHeight="1" x14ac:dyDescent="0.35">
      <c r="A103" s="36"/>
      <c r="B103" s="23" t="s">
        <v>332</v>
      </c>
      <c r="C103" s="42">
        <v>1012508964</v>
      </c>
      <c r="D103" s="19" t="s">
        <v>77</v>
      </c>
      <c r="E103" s="19" t="s">
        <v>85</v>
      </c>
      <c r="F103" s="45">
        <v>41497</v>
      </c>
      <c r="G103" s="28" t="s">
        <v>176</v>
      </c>
      <c r="H103" s="28" t="s">
        <v>212</v>
      </c>
      <c r="I103" s="29" t="s">
        <v>147</v>
      </c>
      <c r="J103" s="42">
        <v>551662297</v>
      </c>
      <c r="K103" s="35" t="s">
        <v>333</v>
      </c>
      <c r="L103" s="53">
        <v>174</v>
      </c>
      <c r="M103" s="51">
        <v>4000</v>
      </c>
      <c r="N103" s="51">
        <v>0</v>
      </c>
      <c r="O103" s="51">
        <v>0</v>
      </c>
      <c r="P103" s="51">
        <v>1400</v>
      </c>
      <c r="Q103" s="47">
        <f t="shared" si="4"/>
        <v>5400</v>
      </c>
      <c r="R103" s="36"/>
      <c r="S103" s="46"/>
    </row>
    <row r="104" spans="1:19" ht="23" customHeight="1" x14ac:dyDescent="0.35">
      <c r="A104" s="36"/>
      <c r="B104" s="23" t="s">
        <v>334</v>
      </c>
      <c r="C104" s="42">
        <v>2501339549</v>
      </c>
      <c r="D104" s="19" t="s">
        <v>77</v>
      </c>
      <c r="E104" s="19" t="s">
        <v>82</v>
      </c>
      <c r="F104" s="45">
        <v>44448</v>
      </c>
      <c r="G104" s="28" t="s">
        <v>161</v>
      </c>
      <c r="H104" s="28" t="s">
        <v>212</v>
      </c>
      <c r="I104" s="29" t="s">
        <v>139</v>
      </c>
      <c r="J104" s="42">
        <v>594406757</v>
      </c>
      <c r="K104" s="35" t="s">
        <v>335</v>
      </c>
      <c r="L104" s="53">
        <v>0</v>
      </c>
      <c r="M104" s="51">
        <v>1600</v>
      </c>
      <c r="N104" s="51">
        <v>0</v>
      </c>
      <c r="O104" s="51">
        <v>0</v>
      </c>
      <c r="P104" s="51">
        <v>100</v>
      </c>
      <c r="Q104" s="47">
        <f t="shared" si="4"/>
        <v>1700</v>
      </c>
      <c r="R104" s="36"/>
      <c r="S104" s="46">
        <v>46235</v>
      </c>
    </row>
    <row r="105" spans="1:19" ht="23" customHeight="1" x14ac:dyDescent="0.35">
      <c r="A105" s="36"/>
      <c r="B105" s="23" t="s">
        <v>336</v>
      </c>
      <c r="C105" s="42">
        <v>2576332072</v>
      </c>
      <c r="D105" s="19" t="s">
        <v>77</v>
      </c>
      <c r="E105" s="19" t="s">
        <v>83</v>
      </c>
      <c r="F105" s="45">
        <v>45443</v>
      </c>
      <c r="G105" s="28" t="s">
        <v>163</v>
      </c>
      <c r="H105" s="28" t="s">
        <v>337</v>
      </c>
      <c r="I105" s="29" t="s">
        <v>146</v>
      </c>
      <c r="J105" s="42" t="s">
        <v>338</v>
      </c>
      <c r="K105" s="35" t="s">
        <v>339</v>
      </c>
      <c r="L105" s="53">
        <v>0</v>
      </c>
      <c r="M105" s="51">
        <v>2000</v>
      </c>
      <c r="N105" s="51">
        <v>0</v>
      </c>
      <c r="O105" s="51">
        <v>0</v>
      </c>
      <c r="P105" s="51">
        <v>0</v>
      </c>
      <c r="Q105" s="47">
        <f t="shared" si="4"/>
        <v>2000</v>
      </c>
      <c r="R105" s="36"/>
      <c r="S105" s="46">
        <v>46431</v>
      </c>
    </row>
    <row r="106" spans="1:19" ht="23" customHeight="1" x14ac:dyDescent="0.35">
      <c r="A106" s="36"/>
      <c r="B106" s="23" t="s">
        <v>340</v>
      </c>
      <c r="C106" s="42">
        <v>1135619938</v>
      </c>
      <c r="D106" s="19" t="s">
        <v>76</v>
      </c>
      <c r="E106" s="19" t="s">
        <v>79</v>
      </c>
      <c r="F106" s="45">
        <v>45200</v>
      </c>
      <c r="G106" s="28" t="s">
        <v>161</v>
      </c>
      <c r="H106" s="28" t="s">
        <v>212</v>
      </c>
      <c r="I106" s="29" t="s">
        <v>341</v>
      </c>
      <c r="J106" s="42">
        <v>509598959</v>
      </c>
      <c r="K106" s="35" t="s">
        <v>342</v>
      </c>
      <c r="L106" s="53">
        <v>17</v>
      </c>
      <c r="M106" s="51">
        <v>4000</v>
      </c>
      <c r="N106" s="51">
        <v>0</v>
      </c>
      <c r="O106" s="51">
        <v>0</v>
      </c>
      <c r="P106" s="51">
        <v>0</v>
      </c>
      <c r="Q106" s="47">
        <f t="shared" si="4"/>
        <v>4000</v>
      </c>
      <c r="R106" s="36"/>
      <c r="S106" s="46"/>
    </row>
    <row r="107" spans="1:19" ht="23" customHeight="1" x14ac:dyDescent="0.35">
      <c r="A107" s="36"/>
      <c r="B107" s="23" t="s">
        <v>343</v>
      </c>
      <c r="C107" s="42">
        <v>1021592801</v>
      </c>
      <c r="D107" s="19" t="s">
        <v>77</v>
      </c>
      <c r="E107" s="19" t="s">
        <v>85</v>
      </c>
      <c r="F107" s="45">
        <v>45057</v>
      </c>
      <c r="G107" s="28" t="s">
        <v>19</v>
      </c>
      <c r="H107" s="28" t="s">
        <v>178</v>
      </c>
      <c r="I107" s="29" t="s">
        <v>344</v>
      </c>
      <c r="J107" s="42">
        <v>553162772</v>
      </c>
      <c r="K107" s="35" t="s">
        <v>345</v>
      </c>
      <c r="L107" s="53">
        <v>15</v>
      </c>
      <c r="M107" s="51">
        <v>4000</v>
      </c>
      <c r="N107" s="51">
        <v>0</v>
      </c>
      <c r="O107" s="51">
        <v>0</v>
      </c>
      <c r="P107" s="51">
        <v>0</v>
      </c>
      <c r="Q107" s="47">
        <f t="shared" si="4"/>
        <v>4000</v>
      </c>
      <c r="R107" s="36"/>
      <c r="S107" s="46"/>
    </row>
    <row r="108" spans="1:19" ht="23" customHeight="1" x14ac:dyDescent="0.35">
      <c r="A108" s="36"/>
      <c r="B108" s="23" t="s">
        <v>346</v>
      </c>
      <c r="C108" s="42">
        <v>2328836750</v>
      </c>
      <c r="D108" s="19" t="s">
        <v>77</v>
      </c>
      <c r="E108" s="19" t="s">
        <v>84</v>
      </c>
      <c r="F108" s="45">
        <v>41188</v>
      </c>
      <c r="G108" s="28" t="s">
        <v>19</v>
      </c>
      <c r="H108" s="28" t="s">
        <v>218</v>
      </c>
      <c r="I108" s="29" t="s">
        <v>347</v>
      </c>
      <c r="J108" s="42">
        <v>503674387</v>
      </c>
      <c r="K108" s="35" t="s">
        <v>348</v>
      </c>
      <c r="L108" s="53">
        <v>60</v>
      </c>
      <c r="M108" s="51">
        <v>4800</v>
      </c>
      <c r="N108" s="51">
        <v>0</v>
      </c>
      <c r="O108" s="51">
        <v>0</v>
      </c>
      <c r="P108" s="51">
        <v>0</v>
      </c>
      <c r="Q108" s="47">
        <f t="shared" si="4"/>
        <v>4800</v>
      </c>
      <c r="R108" s="36"/>
      <c r="S108" s="46">
        <v>46290</v>
      </c>
    </row>
    <row r="109" spans="1:19" ht="23" customHeight="1" x14ac:dyDescent="0.35">
      <c r="A109" s="36"/>
      <c r="B109" s="23" t="s">
        <v>349</v>
      </c>
      <c r="C109" s="42">
        <v>2452771989</v>
      </c>
      <c r="D109" s="19" t="s">
        <v>77</v>
      </c>
      <c r="E109" s="19" t="s">
        <v>84</v>
      </c>
      <c r="F109" s="45">
        <v>43207</v>
      </c>
      <c r="G109" s="28" t="s">
        <v>163</v>
      </c>
      <c r="H109" s="28" t="s">
        <v>162</v>
      </c>
      <c r="I109" s="29" t="s">
        <v>137</v>
      </c>
      <c r="J109" s="42">
        <v>573280042</v>
      </c>
      <c r="K109" s="35" t="s">
        <v>350</v>
      </c>
      <c r="L109" s="53">
        <v>60</v>
      </c>
      <c r="M109" s="51">
        <v>1700</v>
      </c>
      <c r="N109" s="51">
        <v>0</v>
      </c>
      <c r="O109" s="51">
        <v>0</v>
      </c>
      <c r="P109" s="51">
        <v>0</v>
      </c>
      <c r="Q109" s="47">
        <f t="shared" si="4"/>
        <v>1700</v>
      </c>
      <c r="R109" s="36"/>
      <c r="S109" s="46">
        <v>46334</v>
      </c>
    </row>
    <row r="110" spans="1:19" ht="23" customHeight="1" x14ac:dyDescent="0.35">
      <c r="A110" s="36"/>
      <c r="B110" s="23" t="s">
        <v>351</v>
      </c>
      <c r="C110" s="42">
        <v>1106453341</v>
      </c>
      <c r="D110" s="19" t="s">
        <v>76</v>
      </c>
      <c r="E110" s="19" t="s">
        <v>85</v>
      </c>
      <c r="F110" s="45">
        <v>46258</v>
      </c>
      <c r="G110" s="28" t="s">
        <v>163</v>
      </c>
      <c r="H110" s="28" t="s">
        <v>212</v>
      </c>
      <c r="I110" s="29" t="s">
        <v>296</v>
      </c>
      <c r="J110" s="42">
        <v>533147646</v>
      </c>
      <c r="K110" s="35" t="s">
        <v>352</v>
      </c>
      <c r="L110" s="53">
        <v>0</v>
      </c>
      <c r="M110" s="51">
        <v>3000</v>
      </c>
      <c r="N110" s="51">
        <v>1000</v>
      </c>
      <c r="O110" s="51">
        <v>0</v>
      </c>
      <c r="P110" s="51">
        <v>0</v>
      </c>
      <c r="Q110" s="47">
        <f t="shared" si="4"/>
        <v>4000</v>
      </c>
      <c r="R110" s="36"/>
      <c r="S110" s="46"/>
    </row>
    <row r="111" spans="1:19" ht="23" customHeight="1" x14ac:dyDescent="0.35">
      <c r="A111" s="36"/>
      <c r="B111" s="23" t="s">
        <v>353</v>
      </c>
      <c r="C111" s="42">
        <v>1075555365</v>
      </c>
      <c r="D111" s="19" t="s">
        <v>76</v>
      </c>
      <c r="E111" s="19" t="s">
        <v>85</v>
      </c>
      <c r="F111" s="45">
        <v>45939</v>
      </c>
      <c r="G111" s="28" t="s">
        <v>161</v>
      </c>
      <c r="H111" s="28" t="s">
        <v>212</v>
      </c>
      <c r="I111" s="29" t="s">
        <v>296</v>
      </c>
      <c r="J111" s="42">
        <v>553342301</v>
      </c>
      <c r="K111" s="35" t="s">
        <v>354</v>
      </c>
      <c r="L111" s="53">
        <v>21</v>
      </c>
      <c r="M111" s="51">
        <v>3000</v>
      </c>
      <c r="N111" s="51">
        <v>1000</v>
      </c>
      <c r="O111" s="51">
        <v>0</v>
      </c>
      <c r="P111" s="51">
        <v>0</v>
      </c>
      <c r="Q111" s="47">
        <f t="shared" si="4"/>
        <v>4000</v>
      </c>
      <c r="R111" s="36"/>
      <c r="S111" s="46"/>
    </row>
    <row r="112" spans="1:19" ht="23" customHeight="1" x14ac:dyDescent="0.35">
      <c r="A112" s="36"/>
      <c r="B112" s="23" t="s">
        <v>355</v>
      </c>
      <c r="C112" s="42">
        <v>1111746069</v>
      </c>
      <c r="D112" s="19" t="s">
        <v>77</v>
      </c>
      <c r="E112" s="19" t="s">
        <v>85</v>
      </c>
      <c r="F112" s="45">
        <v>45800</v>
      </c>
      <c r="G112" s="28" t="s">
        <v>161</v>
      </c>
      <c r="H112" s="28" t="s">
        <v>212</v>
      </c>
      <c r="I112" s="29" t="s">
        <v>315</v>
      </c>
      <c r="J112" s="42">
        <v>552175369</v>
      </c>
      <c r="K112" s="35" t="s">
        <v>356</v>
      </c>
      <c r="L112" s="53">
        <v>0</v>
      </c>
      <c r="M112" s="51">
        <v>4000</v>
      </c>
      <c r="N112" s="51">
        <v>0</v>
      </c>
      <c r="O112" s="51">
        <v>0</v>
      </c>
      <c r="P112" s="51">
        <v>0</v>
      </c>
      <c r="Q112" s="47">
        <f t="shared" si="4"/>
        <v>4000</v>
      </c>
      <c r="R112" s="36"/>
      <c r="S112" s="46"/>
    </row>
    <row r="113" spans="1:18" x14ac:dyDescent="0.35">
      <c r="A113" s="1"/>
      <c r="B113" s="8"/>
      <c r="C113" s="7"/>
      <c r="D113" s="6"/>
      <c r="E113" s="6"/>
      <c r="F113" s="10"/>
      <c r="G113" s="11"/>
      <c r="H113" s="11"/>
      <c r="I113" s="6"/>
      <c r="J113" s="7"/>
      <c r="K113" s="14"/>
      <c r="L113" s="12"/>
      <c r="M113" s="15"/>
      <c r="N113" s="13"/>
      <c r="O113" s="13"/>
      <c r="P113" s="7"/>
      <c r="Q113" s="16"/>
      <c r="R113" s="1"/>
    </row>
  </sheetData>
  <mergeCells count="2">
    <mergeCell ref="A2:L2"/>
    <mergeCell ref="A1:S1"/>
  </mergeCells>
  <phoneticPr fontId="6" type="noConversion"/>
  <dataValidations count="1">
    <dataValidation type="list" allowBlank="1" showInputMessage="1" showErrorMessage="1" sqref="D4:D112" xr:uid="{00000000-0002-0000-0000-000000000000}">
      <formula1>"ذكر,أنثى"</formula1>
    </dataValidation>
  </dataValidations>
  <hyperlinks>
    <hyperlink ref="K4" r:id="rId1" xr:uid="{00000000-0004-0000-0000-000000000000}"/>
    <hyperlink ref="K5" r:id="rId2" xr:uid="{00000000-0004-0000-0000-000001000000}"/>
    <hyperlink ref="K6" r:id="rId3" xr:uid="{00000000-0004-0000-0000-000002000000}"/>
    <hyperlink ref="K7" r:id="rId4" xr:uid="{00000000-0004-0000-0000-000003000000}"/>
    <hyperlink ref="K8" r:id="rId5" xr:uid="{00000000-0004-0000-0000-000004000000}"/>
    <hyperlink ref="K9" r:id="rId6" xr:uid="{00000000-0004-0000-0000-000005000000}"/>
    <hyperlink ref="K10" r:id="rId7" xr:uid="{00000000-0004-0000-0000-000006000000}"/>
    <hyperlink ref="K11" r:id="rId8" xr:uid="{00000000-0004-0000-0000-000007000000}"/>
    <hyperlink ref="K12" r:id="rId9" xr:uid="{00000000-0004-0000-0000-000008000000}"/>
    <hyperlink ref="K14" r:id="rId10" xr:uid="{00000000-0004-0000-0000-000009000000}"/>
    <hyperlink ref="K15" r:id="rId11" xr:uid="{00000000-0004-0000-0000-00000A000000}"/>
    <hyperlink ref="K16" r:id="rId12" xr:uid="{00000000-0004-0000-0000-00000B000000}"/>
    <hyperlink ref="K17" r:id="rId13" xr:uid="{00000000-0004-0000-0000-00000C000000}"/>
    <hyperlink ref="K18" r:id="rId14" xr:uid="{00000000-0004-0000-0000-00000D000000}"/>
    <hyperlink ref="K20" r:id="rId15" xr:uid="{00000000-0004-0000-0000-00000E000000}"/>
    <hyperlink ref="K21" r:id="rId16" xr:uid="{00000000-0004-0000-0000-00000F000000}"/>
    <hyperlink ref="K22" r:id="rId17" xr:uid="{00000000-0004-0000-0000-000010000000}"/>
    <hyperlink ref="K23" r:id="rId18" xr:uid="{00000000-0004-0000-0000-000011000000}"/>
    <hyperlink ref="K24" r:id="rId19" xr:uid="{00000000-0004-0000-0000-000012000000}"/>
    <hyperlink ref="K25" r:id="rId20" xr:uid="{00000000-0004-0000-0000-000013000000}"/>
    <hyperlink ref="K26" r:id="rId21" xr:uid="{00000000-0004-0000-0000-000014000000}"/>
    <hyperlink ref="K27" r:id="rId22" xr:uid="{00000000-0004-0000-0000-000015000000}"/>
    <hyperlink ref="K28" r:id="rId23" xr:uid="{00000000-0004-0000-0000-000016000000}"/>
    <hyperlink ref="K29" r:id="rId24" xr:uid="{00000000-0004-0000-0000-000017000000}"/>
    <hyperlink ref="K30" r:id="rId25" xr:uid="{00000000-0004-0000-0000-000018000000}"/>
    <hyperlink ref="K31" r:id="rId26" xr:uid="{00000000-0004-0000-0000-000019000000}"/>
    <hyperlink ref="K32" r:id="rId27" xr:uid="{00000000-0004-0000-0000-00001A000000}"/>
    <hyperlink ref="K33" r:id="rId28" xr:uid="{00000000-0004-0000-0000-00001B000000}"/>
    <hyperlink ref="K34" r:id="rId29" xr:uid="{00000000-0004-0000-0000-00001C000000}"/>
    <hyperlink ref="K35" r:id="rId30" xr:uid="{00000000-0004-0000-0000-00001D000000}"/>
    <hyperlink ref="K36" r:id="rId31" xr:uid="{00000000-0004-0000-0000-00001E000000}"/>
    <hyperlink ref="K37" r:id="rId32" xr:uid="{00000000-0004-0000-0000-00001F000000}"/>
    <hyperlink ref="K38" r:id="rId33" xr:uid="{00000000-0004-0000-0000-000020000000}"/>
    <hyperlink ref="K39" r:id="rId34" xr:uid="{00000000-0004-0000-0000-000021000000}"/>
    <hyperlink ref="K40" r:id="rId35" xr:uid="{00000000-0004-0000-0000-000022000000}"/>
    <hyperlink ref="K41" r:id="rId36" xr:uid="{00000000-0004-0000-0000-000023000000}"/>
    <hyperlink ref="K42" r:id="rId37" xr:uid="{00000000-0004-0000-0000-000024000000}"/>
    <hyperlink ref="K43" r:id="rId38" xr:uid="{00000000-0004-0000-0000-000025000000}"/>
    <hyperlink ref="K44" r:id="rId39" xr:uid="{00000000-0004-0000-0000-000026000000}"/>
    <hyperlink ref="K49" r:id="rId40" xr:uid="{00000000-0004-0000-0000-000027000000}"/>
    <hyperlink ref="K53" r:id="rId41" xr:uid="{00000000-0004-0000-0000-000028000000}"/>
    <hyperlink ref="K57" r:id="rId42" xr:uid="{00000000-0004-0000-0000-000029000000}"/>
    <hyperlink ref="K58" r:id="rId43" xr:uid="{00000000-0004-0000-0000-00002A000000}"/>
    <hyperlink ref="K56" r:id="rId44" xr:uid="{00000000-0004-0000-0000-00002B000000}"/>
    <hyperlink ref="K19" r:id="rId45" xr:uid="{00000000-0004-0000-0000-00002C000000}"/>
    <hyperlink ref="K48" r:id="rId46" xr:uid="{00000000-0004-0000-0000-00002D000000}"/>
    <hyperlink ref="K47" r:id="rId47" xr:uid="{00000000-0004-0000-0000-00002E000000}"/>
    <hyperlink ref="K52" r:id="rId48" xr:uid="{00000000-0004-0000-0000-00002F000000}"/>
    <hyperlink ref="K45" r:id="rId49" xr:uid="{00000000-0004-0000-0000-000030000000}"/>
    <hyperlink ref="K46" r:id="rId50" xr:uid="{00000000-0004-0000-0000-000031000000}"/>
    <hyperlink ref="K55" r:id="rId51" xr:uid="{00000000-0004-0000-0000-000032000000}"/>
    <hyperlink ref="K60" r:id="rId52" xr:uid="{00000000-0004-0000-0000-000033000000}"/>
    <hyperlink ref="K59" r:id="rId53" xr:uid="{00000000-0004-0000-0000-000034000000}"/>
  </hyperlinks>
  <pageMargins left="0.7" right="0.7" top="0.75" bottom="0.75" header="0.3" footer="0.3"/>
  <pageSetup paperSize="9" scale="22" orientation="portrait" verticalDpi="0" r:id="rId54"/>
  <legacyDrawing r:id="rId55"/>
  <tableParts count="1">
    <tablePart r:id="rId5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بيانات الموظفين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 CONSULTANT</dc:creator>
  <cp:lastModifiedBy>LABOR CONSULTANT</cp:lastModifiedBy>
  <cp:lastPrinted>2026-10-11T07:07:33Z</cp:lastPrinted>
  <dcterms:created xsi:type="dcterms:W3CDTF">2015-06-05T18:17:20Z</dcterms:created>
  <dcterms:modified xsi:type="dcterms:W3CDTF">2026-10-17T04:56:54Z</dcterms:modified>
</cp:coreProperties>
</file>